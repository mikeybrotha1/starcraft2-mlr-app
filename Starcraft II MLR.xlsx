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6d25565bda3b8/Documenti/Starcraft II Project/"/>
    </mc:Choice>
  </mc:AlternateContent>
  <xr:revisionPtr revIDLastSave="0" documentId="8_{1C3E2189-8697-4CA5-8F1D-8651A66418C0}" xr6:coauthVersionLast="47" xr6:coauthVersionMax="47" xr10:uidLastSave="{00000000-0000-0000-0000-000000000000}"/>
  <bookViews>
    <workbookView xWindow="14310" yWindow="360" windowWidth="28800" windowHeight="15435" xr2:uid="{F17C294B-D902-4D02-8C4D-8F785F88FADD}"/>
  </bookViews>
  <sheets>
    <sheet name="Enter Performance Indicators" sheetId="1" r:id="rId1"/>
    <sheet name="Game-Time Converted to Minutes" sheetId="2" r:id="rId2"/>
    <sheet name="Raw Data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2" i="3" l="1"/>
  <c r="G101" i="3"/>
  <c r="E101" i="3"/>
  <c r="G100" i="3"/>
  <c r="E100" i="3"/>
  <c r="G99" i="3"/>
  <c r="E99" i="3"/>
  <c r="E98" i="3"/>
  <c r="E97" i="3"/>
  <c r="E96" i="3"/>
  <c r="G95" i="3"/>
  <c r="E95" i="3"/>
  <c r="E94" i="3"/>
  <c r="H93" i="3"/>
  <c r="F93" i="3"/>
  <c r="G92" i="3"/>
  <c r="E92" i="3"/>
  <c r="E91" i="3"/>
  <c r="E90" i="3"/>
  <c r="E89" i="3"/>
  <c r="G88" i="3"/>
  <c r="E88" i="3"/>
  <c r="E87" i="3"/>
  <c r="E86" i="3"/>
  <c r="E85" i="3"/>
  <c r="E84" i="3"/>
  <c r="G83" i="3"/>
  <c r="E83" i="3"/>
  <c r="E82" i="3"/>
  <c r="G81" i="3"/>
  <c r="E81" i="3"/>
  <c r="E80" i="3"/>
  <c r="G79" i="3"/>
  <c r="E79" i="3"/>
  <c r="G78" i="3"/>
  <c r="E78" i="3"/>
  <c r="E77" i="3"/>
  <c r="E76" i="3"/>
  <c r="E75" i="3"/>
  <c r="E74" i="3"/>
  <c r="B24" i="1" l="1" a="1"/>
  <c r="B24" i="1" s="1"/>
  <c r="B23" i="1"/>
  <c r="B10" i="1" a="1"/>
  <c r="D13" i="1" s="1"/>
  <c r="A2" i="2" l="1"/>
  <c r="C10" i="1"/>
  <c r="C12" i="1"/>
  <c r="D10" i="1"/>
  <c r="D12" i="1"/>
  <c r="E11" i="1"/>
  <c r="E13" i="1"/>
  <c r="E10" i="1"/>
  <c r="E12" i="1"/>
  <c r="B11" i="1"/>
  <c r="B13" i="1"/>
  <c r="C11" i="1"/>
  <c r="C13" i="1"/>
  <c r="B10" i="1"/>
  <c r="B12" i="1"/>
  <c r="D11" i="1"/>
  <c r="B15" i="1" l="1" a="1"/>
  <c r="C18" i="1" l="1"/>
  <c r="C16" i="1"/>
  <c r="B18" i="1"/>
  <c r="B16" i="1"/>
  <c r="E17" i="1"/>
  <c r="E15" i="1"/>
  <c r="D17" i="1"/>
  <c r="D15" i="1"/>
  <c r="E18" i="1"/>
  <c r="E16" i="1"/>
  <c r="D18" i="1"/>
  <c r="D16" i="1"/>
  <c r="C17" i="1"/>
  <c r="C15" i="1"/>
  <c r="B17" i="1"/>
  <c r="B15" i="1"/>
  <c r="B20" i="1" s="1" a="1"/>
  <c r="E20" i="1" l="1"/>
  <c r="D20" i="1"/>
  <c r="C20" i="1"/>
  <c r="B20" i="1"/>
  <c r="B22" i="1" s="1"/>
  <c r="B27" i="1" l="1"/>
  <c r="B32" i="1"/>
  <c r="B34" i="1" l="1"/>
  <c r="B33" i="1"/>
  <c r="B29" i="1"/>
  <c r="B28" i="1"/>
</calcChain>
</file>

<file path=xl/sharedStrings.xml><?xml version="1.0" encoding="utf-8"?>
<sst xmlns="http://schemas.openxmlformats.org/spreadsheetml/2006/main" count="334" uniqueCount="140">
  <si>
    <t>Confidence Interval Estimate and Prediction Interval</t>
  </si>
  <si>
    <t>Data</t>
  </si>
  <si>
    <t>Confidence Level</t>
  </si>
  <si>
    <t>Average Unspent Resources given value</t>
  </si>
  <si>
    <t>Time Supply Capped given value</t>
  </si>
  <si>
    <t>Workers Created given value</t>
  </si>
  <si>
    <t>X'X</t>
  </si>
  <si>
    <t>Inverse of X'X</t>
  </si>
  <si>
    <t>X'G times Inverse of X'X</t>
  </si>
  <si>
    <t>[X'G times Inverse of X'X] times XG</t>
  </si>
  <si>
    <t>t Statistic</t>
  </si>
  <si>
    <t>Predicted Y (YHat)</t>
  </si>
  <si>
    <t>For Average Predicted Y (YHat)</t>
  </si>
  <si>
    <t>Interval Half Width</t>
  </si>
  <si>
    <t>Confidence Interval Lower Limit</t>
  </si>
  <si>
    <t>Confidence Interval Upper Limit</t>
  </si>
  <si>
    <t>For Individual Response Y</t>
  </si>
  <si>
    <t>Prediction Interval Lower Limit</t>
  </si>
  <si>
    <t>Prediction Interval Upper Limit</t>
  </si>
  <si>
    <t>Minutes Played</t>
  </si>
  <si>
    <t>Game</t>
  </si>
  <si>
    <t>Map</t>
  </si>
  <si>
    <t>Race</t>
  </si>
  <si>
    <t>Opponent</t>
  </si>
  <si>
    <t>Game Time (Seconds)</t>
  </si>
  <si>
    <t>Average Unspent Resources</t>
  </si>
  <si>
    <t>Time Supply Capped</t>
  </si>
  <si>
    <t>Workers Created</t>
  </si>
  <si>
    <t>APM</t>
  </si>
  <si>
    <t>Win/Loss</t>
  </si>
  <si>
    <t>Ever Dream LE</t>
  </si>
  <si>
    <t>Terran</t>
  </si>
  <si>
    <t>Heaton</t>
  </si>
  <si>
    <t>Zen LE</t>
  </si>
  <si>
    <t>Protoss</t>
  </si>
  <si>
    <t>DanteDiego</t>
  </si>
  <si>
    <t>Nightshade LE</t>
  </si>
  <si>
    <t>&lt;GORE&gt; Dmt</t>
  </si>
  <si>
    <t>Purity and Industry LE</t>
  </si>
  <si>
    <t>Voulskin</t>
  </si>
  <si>
    <t>Eternal Empire LE</t>
  </si>
  <si>
    <t>&lt;DCDK&gt; DROA</t>
  </si>
  <si>
    <t>HuskenOG</t>
  </si>
  <si>
    <t>Doctoss</t>
  </si>
  <si>
    <t>TheOrder</t>
  </si>
  <si>
    <t>Simulacrum LE</t>
  </si>
  <si>
    <t>Zerg</t>
  </si>
  <si>
    <t>EddieVanHahm</t>
  </si>
  <si>
    <t>gester</t>
  </si>
  <si>
    <t>Marley</t>
  </si>
  <si>
    <t>&lt;TitVis&gt; McHashbrown</t>
  </si>
  <si>
    <t>Ravager</t>
  </si>
  <si>
    <t>Bleezebot</t>
  </si>
  <si>
    <t>Telepathic</t>
  </si>
  <si>
    <t>&lt;0U&gt; JoseEddie</t>
  </si>
  <si>
    <t>DudeMan</t>
  </si>
  <si>
    <t>&lt;COLD1&gt; FictionFive</t>
  </si>
  <si>
    <t>Golden Wall LE</t>
  </si>
  <si>
    <t>theDTA</t>
  </si>
  <si>
    <t>Glitful</t>
  </si>
  <si>
    <t>&lt;A111dz&gt; PullTheBoys</t>
  </si>
  <si>
    <t>Zmordron</t>
  </si>
  <si>
    <t>invalideight</t>
  </si>
  <si>
    <t>Shulpur</t>
  </si>
  <si>
    <t>&lt;SWMP&gt; galivan</t>
  </si>
  <si>
    <t>&lt;hxhchi&gt; TAUTOS</t>
  </si>
  <si>
    <t>Ryu</t>
  </si>
  <si>
    <t>INTLempire</t>
  </si>
  <si>
    <t>ijitus</t>
  </si>
  <si>
    <t>&lt;AssSZN&gt; SpankMaster</t>
  </si>
  <si>
    <t>Thedudedeo</t>
  </si>
  <si>
    <t>Petrovich</t>
  </si>
  <si>
    <t>&lt;EAZDC&gt; gumpy</t>
  </si>
  <si>
    <t>seungwoonyc</t>
  </si>
  <si>
    <t>Colby</t>
  </si>
  <si>
    <t>ErnestoV</t>
  </si>
  <si>
    <t>NameHere</t>
  </si>
  <si>
    <t>Jkell</t>
  </si>
  <si>
    <t>SRiderEv</t>
  </si>
  <si>
    <t>Makaidos</t>
  </si>
  <si>
    <t>dgibbs</t>
  </si>
  <si>
    <t>&lt;CTVS&gt; Raphael</t>
  </si>
  <si>
    <t>&lt;brofrc&gt; GreyKokaine</t>
  </si>
  <si>
    <t>SwagKing</t>
  </si>
  <si>
    <t>Starscratch</t>
  </si>
  <si>
    <t>ISRAELOCAMPO</t>
  </si>
  <si>
    <t>&lt;1kbt8&gt; danny</t>
  </si>
  <si>
    <t>&lt;zelniq&gt; HotNiqqa</t>
  </si>
  <si>
    <t>DarkForce</t>
  </si>
  <si>
    <t>&lt;SQD&gt; Alpinestar</t>
  </si>
  <si>
    <t>PAMis</t>
  </si>
  <si>
    <t>&lt;sk3tch&gt; matina</t>
  </si>
  <si>
    <t>Scghost</t>
  </si>
  <si>
    <t>Babuin</t>
  </si>
  <si>
    <t>Jordanism</t>
  </si>
  <si>
    <t>OneNintyIQ</t>
  </si>
  <si>
    <t>Kamikaze</t>
  </si>
  <si>
    <t>fluffybunny</t>
  </si>
  <si>
    <t>deyeplz</t>
  </si>
  <si>
    <t>Sidra</t>
  </si>
  <si>
    <t>Bertxi</t>
  </si>
  <si>
    <t>&lt;Wall&gt; Caesar</t>
  </si>
  <si>
    <t>MasterMind</t>
  </si>
  <si>
    <t>Lastexit</t>
  </si>
  <si>
    <t>Caton</t>
  </si>
  <si>
    <t>Zyrion</t>
  </si>
  <si>
    <t>Grant</t>
  </si>
  <si>
    <t>blrcx</t>
  </si>
  <si>
    <t>&lt;SamLee&gt; TimHan</t>
  </si>
  <si>
    <t>shotsfired</t>
  </si>
  <si>
    <t>WinnerWinner</t>
  </si>
  <si>
    <t>DKDense</t>
  </si>
  <si>
    <t>Orichman</t>
  </si>
  <si>
    <t>Nemisis</t>
  </si>
  <si>
    <t>&lt;SsaYnS&gt; ORZ</t>
  </si>
  <si>
    <t>Aristotle</t>
  </si>
  <si>
    <t>Ozai</t>
  </si>
  <si>
    <t>Choka</t>
  </si>
  <si>
    <t>IndianaJones</t>
  </si>
  <si>
    <t>&lt;HIPASS&gt; urexoxo</t>
  </si>
  <si>
    <t>Yggdrasil</t>
  </si>
  <si>
    <t>NewDeath</t>
  </si>
  <si>
    <t>RPRCloaK</t>
  </si>
  <si>
    <t>&lt;HAC&gt; EliasParrini</t>
  </si>
  <si>
    <t>ProtossOP</t>
  </si>
  <si>
    <t>Riley</t>
  </si>
  <si>
    <t>ALLAHUAKBAR</t>
  </si>
  <si>
    <t>GetMadForMe</t>
  </si>
  <si>
    <t>RBUTUS</t>
  </si>
  <si>
    <t>DAVID</t>
  </si>
  <si>
    <t>EvilHR</t>
  </si>
  <si>
    <t>&lt;BoRnGo&gt; HelmutCool</t>
  </si>
  <si>
    <t>Hitchslap</t>
  </si>
  <si>
    <t>aztek</t>
  </si>
  <si>
    <t>Sage</t>
  </si>
  <si>
    <t>HydraCol</t>
  </si>
  <si>
    <t>corsario</t>
  </si>
  <si>
    <t>Cryogenic</t>
  </si>
  <si>
    <t>&lt;Vitta&gt; tacicles</t>
  </si>
  <si>
    <t>Quantic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</si>
</sst>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3" xfId="0" applyFont="1" applyFill="1" applyBorder="1"/>
    <xf numFmtId="9" fontId="1" fillId="2" borderId="3" xfId="0" applyNumberFormat="1" applyFont="1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1" fillId="0" borderId="4" xfId="0" applyFont="1" applyBorder="1"/>
    <xf numFmtId="0" fontId="0" fillId="0" borderId="5" xfId="0" applyBorder="1"/>
    <xf numFmtId="0" fontId="1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0</xdr:row>
      <xdr:rowOff>101600</xdr:rowOff>
    </xdr:from>
    <xdr:to>
      <xdr:col>11</xdr:col>
      <xdr:colOff>152400</xdr:colOff>
      <xdr:row>11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E1DFD4-8154-4BBA-B4E1-4A31DF953539}"/>
            </a:ext>
          </a:extLst>
        </xdr:cNvPr>
        <xdr:cNvSpPr txBox="1"/>
      </xdr:nvSpPr>
      <xdr:spPr>
        <a:xfrm>
          <a:off x="6737350" y="101600"/>
          <a:ext cx="1905000" cy="2076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
</a:t>
          </a:r>
          <a:r>
            <a:rPr lang="en-US" sz="1100" b="1" i="0"/>
            <a:t>PHStat User Note:
E</a:t>
          </a:r>
          <a:r>
            <a:rPr lang="en-US" sz="1100"/>
            <a:t>nter the values for the given X's in the cell range B6:B8.
(You can interactively change
these values at any time.)
(Before continuing, press the Delete key to delete this note.)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626d25565bda3b8/Documenti/Business%20Analytics/StarCraft%20II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Data3"/>
      <sheetName val="COMPUTE3"/>
      <sheetName val="X32"/>
      <sheetName val="X22"/>
      <sheetName val="X12"/>
      <sheetName val="CPD Calculations2"/>
      <sheetName val="NOTX32"/>
      <sheetName val="NOTX22"/>
      <sheetName val="NOTX12"/>
      <sheetName val="MRData4"/>
      <sheetName val="DurbinWatson2"/>
      <sheetName val="Residual Plot6"/>
      <sheetName val="PlotData6"/>
      <sheetName val="Residual Plot5"/>
      <sheetName val="PlotData5"/>
      <sheetName val="Residual Plot4"/>
      <sheetName val="PlotData4"/>
      <sheetName val="Residuals2"/>
      <sheetName val="COMPUTE4"/>
      <sheetName val="MRData2"/>
      <sheetName val="COMPUTE2"/>
      <sheetName val="Probability of Winning a SC2g"/>
      <sheetName val="Sheet1"/>
      <sheetName val="StarCraft II Performance Data"/>
      <sheetName val="Game Time Prediction"/>
      <sheetName val="How much game time per x var's"/>
      <sheetName val="CIEPIData"/>
      <sheetName val="X3"/>
      <sheetName val="X2"/>
      <sheetName val="X1"/>
      <sheetName val="CPD Calculations"/>
      <sheetName val="NOTX3"/>
      <sheetName val="NOTX2"/>
      <sheetName val="NOTX1"/>
      <sheetName val="MRData"/>
      <sheetName val="DurbinWatson"/>
      <sheetName val="Residual Plot3"/>
      <sheetName val="PlotData3"/>
      <sheetName val="Residual Plot2"/>
      <sheetName val="PlotData2"/>
      <sheetName val="Residual Plot"/>
      <sheetName val="PlotData"/>
      <sheetName val="Residuals"/>
      <sheetName val="COMPU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1</v>
          </cell>
          <cell r="B2">
            <v>595</v>
          </cell>
          <cell r="C2">
            <v>31</v>
          </cell>
          <cell r="D2">
            <v>38</v>
          </cell>
        </row>
        <row r="3">
          <cell r="A3">
            <v>1</v>
          </cell>
          <cell r="B3">
            <v>479</v>
          </cell>
          <cell r="C3">
            <v>55</v>
          </cell>
          <cell r="D3">
            <v>33</v>
          </cell>
        </row>
        <row r="4">
          <cell r="A4">
            <v>1</v>
          </cell>
          <cell r="B4">
            <v>497</v>
          </cell>
          <cell r="C4">
            <v>15</v>
          </cell>
          <cell r="D4">
            <v>33</v>
          </cell>
        </row>
        <row r="5">
          <cell r="A5">
            <v>1</v>
          </cell>
          <cell r="B5">
            <v>860</v>
          </cell>
          <cell r="C5">
            <v>42</v>
          </cell>
          <cell r="D5">
            <v>69</v>
          </cell>
        </row>
        <row r="6">
          <cell r="A6">
            <v>1</v>
          </cell>
          <cell r="B6">
            <v>534</v>
          </cell>
          <cell r="C6">
            <v>84</v>
          </cell>
          <cell r="D6">
            <v>23</v>
          </cell>
        </row>
        <row r="7">
          <cell r="A7">
            <v>1</v>
          </cell>
          <cell r="B7">
            <v>1071</v>
          </cell>
          <cell r="C7">
            <v>67</v>
          </cell>
          <cell r="D7">
            <v>44</v>
          </cell>
        </row>
        <row r="8">
          <cell r="A8">
            <v>1</v>
          </cell>
          <cell r="B8">
            <v>865</v>
          </cell>
          <cell r="C8">
            <v>51</v>
          </cell>
          <cell r="D8">
            <v>53</v>
          </cell>
        </row>
        <row r="9">
          <cell r="A9">
            <v>1</v>
          </cell>
          <cell r="B9">
            <v>452</v>
          </cell>
          <cell r="C9">
            <v>20</v>
          </cell>
          <cell r="D9">
            <v>26</v>
          </cell>
        </row>
        <row r="10">
          <cell r="A10">
            <v>1</v>
          </cell>
          <cell r="B10">
            <v>510</v>
          </cell>
          <cell r="C10">
            <v>20</v>
          </cell>
          <cell r="D10">
            <v>24</v>
          </cell>
        </row>
        <row r="11">
          <cell r="A11">
            <v>1</v>
          </cell>
          <cell r="B11">
            <v>1383</v>
          </cell>
          <cell r="C11">
            <v>45</v>
          </cell>
          <cell r="D11">
            <v>42</v>
          </cell>
        </row>
        <row r="12">
          <cell r="A12">
            <v>1</v>
          </cell>
          <cell r="B12">
            <v>557</v>
          </cell>
          <cell r="C12">
            <v>9</v>
          </cell>
          <cell r="D12">
            <v>23</v>
          </cell>
        </row>
        <row r="13">
          <cell r="A13">
            <v>1</v>
          </cell>
          <cell r="B13">
            <v>444</v>
          </cell>
          <cell r="C13">
            <v>10</v>
          </cell>
          <cell r="D13">
            <v>25</v>
          </cell>
        </row>
        <row r="14">
          <cell r="A14">
            <v>1</v>
          </cell>
          <cell r="B14">
            <v>464</v>
          </cell>
          <cell r="C14">
            <v>30</v>
          </cell>
          <cell r="D14">
            <v>43</v>
          </cell>
        </row>
        <row r="15">
          <cell r="A15">
            <v>1</v>
          </cell>
          <cell r="B15">
            <v>445</v>
          </cell>
          <cell r="C15">
            <v>10</v>
          </cell>
          <cell r="D15">
            <v>30</v>
          </cell>
        </row>
        <row r="16">
          <cell r="A16">
            <v>1</v>
          </cell>
          <cell r="B16">
            <v>414</v>
          </cell>
          <cell r="C16">
            <v>299</v>
          </cell>
          <cell r="D16">
            <v>47</v>
          </cell>
        </row>
        <row r="17">
          <cell r="A17">
            <v>1</v>
          </cell>
          <cell r="B17">
            <v>306</v>
          </cell>
          <cell r="C17">
            <v>10</v>
          </cell>
          <cell r="D17">
            <v>22</v>
          </cell>
        </row>
        <row r="18">
          <cell r="A18">
            <v>1</v>
          </cell>
          <cell r="B18">
            <v>494</v>
          </cell>
          <cell r="C18">
            <v>10</v>
          </cell>
          <cell r="D18">
            <v>23</v>
          </cell>
        </row>
        <row r="19">
          <cell r="A19">
            <v>1</v>
          </cell>
          <cell r="B19">
            <v>1026</v>
          </cell>
          <cell r="C19">
            <v>28</v>
          </cell>
          <cell r="D19">
            <v>59</v>
          </cell>
        </row>
        <row r="20">
          <cell r="A20">
            <v>1</v>
          </cell>
          <cell r="B20">
            <v>1030</v>
          </cell>
          <cell r="C20">
            <v>172</v>
          </cell>
          <cell r="D20">
            <v>54</v>
          </cell>
        </row>
        <row r="21">
          <cell r="A21">
            <v>1</v>
          </cell>
          <cell r="B21">
            <v>450</v>
          </cell>
          <cell r="C21">
            <v>25</v>
          </cell>
          <cell r="D21">
            <v>23</v>
          </cell>
        </row>
        <row r="22">
          <cell r="A22">
            <v>1</v>
          </cell>
          <cell r="B22">
            <v>387</v>
          </cell>
          <cell r="C22">
            <v>12</v>
          </cell>
          <cell r="D22">
            <v>24</v>
          </cell>
        </row>
        <row r="23">
          <cell r="A23">
            <v>1</v>
          </cell>
          <cell r="B23">
            <v>1151</v>
          </cell>
          <cell r="C23">
            <v>45</v>
          </cell>
          <cell r="D23">
            <v>62</v>
          </cell>
        </row>
        <row r="24">
          <cell r="A24">
            <v>1</v>
          </cell>
          <cell r="B24">
            <v>562</v>
          </cell>
          <cell r="C24">
            <v>26</v>
          </cell>
          <cell r="D24">
            <v>43</v>
          </cell>
        </row>
        <row r="25">
          <cell r="A25">
            <v>1</v>
          </cell>
          <cell r="B25">
            <v>756</v>
          </cell>
          <cell r="C25">
            <v>14</v>
          </cell>
          <cell r="D25">
            <v>50</v>
          </cell>
        </row>
        <row r="26">
          <cell r="A26">
            <v>1</v>
          </cell>
          <cell r="B26">
            <v>336</v>
          </cell>
          <cell r="C26">
            <v>11</v>
          </cell>
          <cell r="D26">
            <v>42</v>
          </cell>
        </row>
        <row r="27">
          <cell r="A27">
            <v>1</v>
          </cell>
          <cell r="B27">
            <v>1193</v>
          </cell>
          <cell r="C27">
            <v>127</v>
          </cell>
          <cell r="D27">
            <v>59</v>
          </cell>
        </row>
        <row r="28">
          <cell r="A28">
            <v>1</v>
          </cell>
          <cell r="B28">
            <v>998</v>
          </cell>
          <cell r="C28">
            <v>12</v>
          </cell>
          <cell r="D28">
            <v>48</v>
          </cell>
        </row>
        <row r="29">
          <cell r="A29">
            <v>1</v>
          </cell>
          <cell r="B29">
            <v>642</v>
          </cell>
          <cell r="C29">
            <v>32</v>
          </cell>
          <cell r="D29">
            <v>33</v>
          </cell>
        </row>
        <row r="30">
          <cell r="A30">
            <v>1</v>
          </cell>
          <cell r="B30">
            <v>838</v>
          </cell>
          <cell r="C30">
            <v>31</v>
          </cell>
          <cell r="D30">
            <v>76</v>
          </cell>
        </row>
        <row r="31">
          <cell r="A31">
            <v>1</v>
          </cell>
          <cell r="B31">
            <v>297</v>
          </cell>
          <cell r="C31">
            <v>6</v>
          </cell>
          <cell r="D31">
            <v>23</v>
          </cell>
        </row>
        <row r="32">
          <cell r="A32">
            <v>1</v>
          </cell>
          <cell r="B32">
            <v>789</v>
          </cell>
          <cell r="C32">
            <v>6</v>
          </cell>
          <cell r="D32">
            <v>50</v>
          </cell>
        </row>
        <row r="33">
          <cell r="A33">
            <v>1</v>
          </cell>
          <cell r="B33">
            <v>1403</v>
          </cell>
          <cell r="C33">
            <v>32</v>
          </cell>
          <cell r="D33">
            <v>75</v>
          </cell>
        </row>
        <row r="34">
          <cell r="A34">
            <v>1</v>
          </cell>
          <cell r="B34">
            <v>294</v>
          </cell>
          <cell r="C34">
            <v>25</v>
          </cell>
          <cell r="D34">
            <v>23</v>
          </cell>
        </row>
        <row r="35">
          <cell r="A35">
            <v>1</v>
          </cell>
          <cell r="B35">
            <v>469</v>
          </cell>
          <cell r="C35">
            <v>23</v>
          </cell>
          <cell r="D35">
            <v>29</v>
          </cell>
        </row>
        <row r="36">
          <cell r="A36">
            <v>1</v>
          </cell>
          <cell r="B36">
            <v>1490</v>
          </cell>
          <cell r="C36">
            <v>72</v>
          </cell>
          <cell r="D36">
            <v>73</v>
          </cell>
        </row>
        <row r="37">
          <cell r="A37">
            <v>1</v>
          </cell>
          <cell r="B37">
            <v>767</v>
          </cell>
          <cell r="C37">
            <v>60</v>
          </cell>
          <cell r="D37">
            <v>44</v>
          </cell>
        </row>
        <row r="38">
          <cell r="A38">
            <v>1</v>
          </cell>
          <cell r="B38">
            <v>712</v>
          </cell>
          <cell r="C38">
            <v>35</v>
          </cell>
          <cell r="D38">
            <v>64</v>
          </cell>
        </row>
        <row r="39">
          <cell r="A39">
            <v>1</v>
          </cell>
          <cell r="B39">
            <v>968</v>
          </cell>
          <cell r="C39">
            <v>79</v>
          </cell>
          <cell r="D39">
            <v>60</v>
          </cell>
        </row>
        <row r="40">
          <cell r="A40">
            <v>1</v>
          </cell>
          <cell r="B40">
            <v>978</v>
          </cell>
          <cell r="C40">
            <v>20</v>
          </cell>
          <cell r="D40">
            <v>52</v>
          </cell>
        </row>
        <row r="41">
          <cell r="A41">
            <v>1</v>
          </cell>
          <cell r="B41">
            <v>519</v>
          </cell>
          <cell r="C41">
            <v>44</v>
          </cell>
          <cell r="D41">
            <v>46</v>
          </cell>
        </row>
        <row r="42">
          <cell r="A42">
            <v>1</v>
          </cell>
          <cell r="B42">
            <v>1310</v>
          </cell>
          <cell r="C42">
            <v>47</v>
          </cell>
          <cell r="D42">
            <v>75</v>
          </cell>
        </row>
        <row r="43">
          <cell r="A43">
            <v>1</v>
          </cell>
          <cell r="B43">
            <v>714</v>
          </cell>
          <cell r="C43">
            <v>53</v>
          </cell>
          <cell r="D43">
            <v>60</v>
          </cell>
        </row>
        <row r="44">
          <cell r="A44">
            <v>1</v>
          </cell>
          <cell r="B44">
            <v>1051</v>
          </cell>
          <cell r="C44">
            <v>80</v>
          </cell>
          <cell r="D44">
            <v>61</v>
          </cell>
        </row>
        <row r="45">
          <cell r="A45">
            <v>1</v>
          </cell>
          <cell r="B45">
            <v>368</v>
          </cell>
          <cell r="C45">
            <v>26</v>
          </cell>
          <cell r="D45">
            <v>49</v>
          </cell>
        </row>
        <row r="46">
          <cell r="A46">
            <v>1</v>
          </cell>
          <cell r="B46">
            <v>307</v>
          </cell>
          <cell r="C46">
            <v>12</v>
          </cell>
          <cell r="D46">
            <v>29</v>
          </cell>
        </row>
        <row r="47">
          <cell r="A47">
            <v>1</v>
          </cell>
          <cell r="B47">
            <v>764</v>
          </cell>
          <cell r="C47">
            <v>16</v>
          </cell>
          <cell r="D47">
            <v>49</v>
          </cell>
        </row>
        <row r="48">
          <cell r="A48">
            <v>1</v>
          </cell>
          <cell r="B48">
            <v>766</v>
          </cell>
          <cell r="C48">
            <v>63</v>
          </cell>
          <cell r="D48">
            <v>90</v>
          </cell>
        </row>
        <row r="49">
          <cell r="A49">
            <v>1</v>
          </cell>
          <cell r="B49">
            <v>920</v>
          </cell>
          <cell r="C49">
            <v>49</v>
          </cell>
          <cell r="D49">
            <v>41</v>
          </cell>
        </row>
        <row r="50">
          <cell r="A50">
            <v>1</v>
          </cell>
          <cell r="B50">
            <v>152</v>
          </cell>
          <cell r="C50">
            <v>18</v>
          </cell>
          <cell r="D50">
            <v>22</v>
          </cell>
        </row>
        <row r="51">
          <cell r="A51">
            <v>1</v>
          </cell>
          <cell r="B51">
            <v>861</v>
          </cell>
          <cell r="C51">
            <v>73</v>
          </cell>
          <cell r="D51">
            <v>61</v>
          </cell>
        </row>
        <row r="52">
          <cell r="A52">
            <v>1</v>
          </cell>
          <cell r="B52">
            <v>1251</v>
          </cell>
          <cell r="C52">
            <v>92</v>
          </cell>
          <cell r="D52">
            <v>78</v>
          </cell>
        </row>
        <row r="53">
          <cell r="A53">
            <v>1</v>
          </cell>
          <cell r="B53">
            <v>299</v>
          </cell>
          <cell r="C53">
            <v>25</v>
          </cell>
          <cell r="D53">
            <v>26</v>
          </cell>
        </row>
        <row r="54">
          <cell r="A54">
            <v>1</v>
          </cell>
          <cell r="B54">
            <v>392</v>
          </cell>
          <cell r="C54">
            <v>10</v>
          </cell>
          <cell r="D54">
            <v>44</v>
          </cell>
        </row>
        <row r="55">
          <cell r="A55">
            <v>1</v>
          </cell>
          <cell r="B55">
            <v>782</v>
          </cell>
          <cell r="C55">
            <v>51</v>
          </cell>
          <cell r="D55">
            <v>60</v>
          </cell>
        </row>
        <row r="56">
          <cell r="A56">
            <v>1</v>
          </cell>
          <cell r="B56">
            <v>292</v>
          </cell>
          <cell r="C56">
            <v>10</v>
          </cell>
          <cell r="D56">
            <v>31</v>
          </cell>
        </row>
        <row r="57">
          <cell r="A57">
            <v>1</v>
          </cell>
          <cell r="B57">
            <v>909</v>
          </cell>
          <cell r="C57">
            <v>12</v>
          </cell>
          <cell r="D57">
            <v>66</v>
          </cell>
        </row>
        <row r="58">
          <cell r="A58">
            <v>1</v>
          </cell>
          <cell r="B58">
            <v>2351</v>
          </cell>
          <cell r="C58">
            <v>57</v>
          </cell>
          <cell r="D58">
            <v>82</v>
          </cell>
        </row>
        <row r="59">
          <cell r="A59">
            <v>1</v>
          </cell>
          <cell r="B59">
            <v>333</v>
          </cell>
          <cell r="C59">
            <v>250</v>
          </cell>
          <cell r="D59">
            <v>30</v>
          </cell>
        </row>
        <row r="60">
          <cell r="A60">
            <v>1</v>
          </cell>
          <cell r="B60">
            <v>544</v>
          </cell>
          <cell r="C60">
            <v>10</v>
          </cell>
          <cell r="D60">
            <v>35</v>
          </cell>
        </row>
        <row r="61">
          <cell r="A61">
            <v>1</v>
          </cell>
          <cell r="B61">
            <v>2061</v>
          </cell>
          <cell r="C61">
            <v>52</v>
          </cell>
          <cell r="D61">
            <v>80</v>
          </cell>
        </row>
        <row r="62">
          <cell r="A62">
            <v>1</v>
          </cell>
          <cell r="B62">
            <v>653</v>
          </cell>
          <cell r="C62">
            <v>54</v>
          </cell>
          <cell r="D62">
            <v>42</v>
          </cell>
        </row>
        <row r="63">
          <cell r="A63">
            <v>1</v>
          </cell>
          <cell r="B63">
            <v>242</v>
          </cell>
          <cell r="C63">
            <v>17</v>
          </cell>
          <cell r="D63">
            <v>36</v>
          </cell>
        </row>
        <row r="64">
          <cell r="A64">
            <v>1</v>
          </cell>
          <cell r="B64">
            <v>902</v>
          </cell>
          <cell r="C64">
            <v>35</v>
          </cell>
          <cell r="D64">
            <v>58</v>
          </cell>
        </row>
        <row r="65">
          <cell r="A65">
            <v>1</v>
          </cell>
          <cell r="B65">
            <v>1208</v>
          </cell>
          <cell r="C65">
            <v>87</v>
          </cell>
          <cell r="D65">
            <v>89</v>
          </cell>
        </row>
        <row r="66">
          <cell r="A66">
            <v>1</v>
          </cell>
          <cell r="B66">
            <v>363</v>
          </cell>
          <cell r="C66">
            <v>10</v>
          </cell>
          <cell r="D66">
            <v>33</v>
          </cell>
        </row>
        <row r="67">
          <cell r="A67">
            <v>1</v>
          </cell>
          <cell r="B67">
            <v>1002</v>
          </cell>
          <cell r="C67">
            <v>39</v>
          </cell>
          <cell r="D67">
            <v>62</v>
          </cell>
        </row>
        <row r="68">
          <cell r="A68">
            <v>1</v>
          </cell>
          <cell r="B68">
            <v>555</v>
          </cell>
          <cell r="C68">
            <v>76</v>
          </cell>
          <cell r="D68">
            <v>61</v>
          </cell>
        </row>
        <row r="69">
          <cell r="A69">
            <v>1</v>
          </cell>
          <cell r="B69">
            <v>2128</v>
          </cell>
          <cell r="C69">
            <v>130</v>
          </cell>
          <cell r="D69">
            <v>61</v>
          </cell>
        </row>
        <row r="70">
          <cell r="A70">
            <v>1</v>
          </cell>
          <cell r="B70">
            <v>597</v>
          </cell>
          <cell r="C70">
            <v>57</v>
          </cell>
          <cell r="D70">
            <v>81</v>
          </cell>
        </row>
        <row r="71">
          <cell r="A71">
            <v>1</v>
          </cell>
          <cell r="B71">
            <v>1700</v>
          </cell>
          <cell r="C71">
            <v>8</v>
          </cell>
          <cell r="D71">
            <v>70</v>
          </cell>
        </row>
        <row r="72">
          <cell r="A72">
            <v>1</v>
          </cell>
          <cell r="B72">
            <v>1316</v>
          </cell>
          <cell r="C72">
            <v>131</v>
          </cell>
          <cell r="D72">
            <v>86</v>
          </cell>
        </row>
        <row r="73">
          <cell r="A73">
            <v>1</v>
          </cell>
          <cell r="B73">
            <v>662</v>
          </cell>
          <cell r="C73">
            <v>51</v>
          </cell>
          <cell r="D73">
            <v>66</v>
          </cell>
        </row>
        <row r="74">
          <cell r="A74">
            <v>1</v>
          </cell>
          <cell r="B74">
            <v>1421</v>
          </cell>
          <cell r="C74">
            <v>60</v>
          </cell>
          <cell r="D74">
            <v>67</v>
          </cell>
        </row>
        <row r="75">
          <cell r="A75">
            <v>1</v>
          </cell>
          <cell r="B75">
            <v>586</v>
          </cell>
          <cell r="C75">
            <v>63</v>
          </cell>
          <cell r="D75">
            <v>63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/>
      <sheetData sheetId="38" refreshError="1"/>
      <sheetData sheetId="39"/>
      <sheetData sheetId="40" refreshError="1"/>
      <sheetData sheetId="41"/>
      <sheetData sheetId="42"/>
      <sheetData sheetId="43">
        <row r="7">
          <cell r="B7">
            <v>121.80091643711707</v>
          </cell>
        </row>
        <row r="13">
          <cell r="B13">
            <v>70</v>
          </cell>
        </row>
        <row r="17">
          <cell r="B17">
            <v>34.391127261524446</v>
          </cell>
        </row>
        <row r="18">
          <cell r="B18">
            <v>0.17264660851332803</v>
          </cell>
        </row>
        <row r="19">
          <cell r="B19">
            <v>1.6024449496315087</v>
          </cell>
        </row>
        <row r="20">
          <cell r="B20">
            <v>8.197630637068233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AD81-3047-4789-98E2-83757161F674}">
  <dimension ref="A1:E34"/>
  <sheetViews>
    <sheetView tabSelected="1" workbookViewId="0">
      <selection activeCell="A8" sqref="A8"/>
    </sheetView>
  </sheetViews>
  <sheetFormatPr defaultRowHeight="15" x14ac:dyDescent="0.25"/>
  <cols>
    <col min="1" max="1" width="34.28515625" bestFit="1" customWidth="1"/>
  </cols>
  <sheetData>
    <row r="1" spans="1:5" x14ac:dyDescent="0.25">
      <c r="A1" s="1" t="s">
        <v>0</v>
      </c>
    </row>
    <row r="2" spans="1:5" x14ac:dyDescent="0.25">
      <c r="A2" s="1"/>
    </row>
    <row r="3" spans="1:5" x14ac:dyDescent="0.25">
      <c r="A3" s="8" t="s">
        <v>1</v>
      </c>
      <c r="B3" s="9"/>
    </row>
    <row r="4" spans="1:5" x14ac:dyDescent="0.25">
      <c r="A4" s="2" t="s">
        <v>2</v>
      </c>
      <c r="B4" s="3">
        <v>0.95</v>
      </c>
    </row>
    <row r="5" spans="1:5" x14ac:dyDescent="0.25">
      <c r="B5">
        <v>1</v>
      </c>
    </row>
    <row r="6" spans="1:5" x14ac:dyDescent="0.25">
      <c r="A6" s="2" t="s">
        <v>3</v>
      </c>
      <c r="B6" s="4">
        <v>440</v>
      </c>
    </row>
    <row r="7" spans="1:5" x14ac:dyDescent="0.25">
      <c r="A7" s="2" t="s">
        <v>4</v>
      </c>
      <c r="B7" s="4">
        <v>44</v>
      </c>
    </row>
    <row r="8" spans="1:5" x14ac:dyDescent="0.25">
      <c r="A8" s="2" t="s">
        <v>5</v>
      </c>
      <c r="B8" s="4">
        <v>44</v>
      </c>
    </row>
    <row r="10" spans="1:5" x14ac:dyDescent="0.25">
      <c r="A10" t="s">
        <v>6</v>
      </c>
      <c r="B10">
        <f t="array" ref="B10:E13">MMULT(TRANSPOSE([1]CIEPIData!$A$2:$D$75),[1]CIEPIData!$A$2:$D$75)</f>
        <v>74</v>
      </c>
      <c r="C10">
        <v>58187</v>
      </c>
      <c r="D10">
        <v>3569</v>
      </c>
      <c r="E10">
        <v>3654</v>
      </c>
    </row>
    <row r="11" spans="1:5" x14ac:dyDescent="0.25">
      <c r="B11">
        <v>58187</v>
      </c>
      <c r="C11">
        <v>60709183</v>
      </c>
      <c r="D11">
        <v>3160788</v>
      </c>
      <c r="E11">
        <v>3322851</v>
      </c>
    </row>
    <row r="12" spans="1:5" x14ac:dyDescent="0.25">
      <c r="B12">
        <v>3569</v>
      </c>
      <c r="C12">
        <v>3160788</v>
      </c>
      <c r="D12">
        <v>359021</v>
      </c>
      <c r="E12">
        <v>195179</v>
      </c>
    </row>
    <row r="13" spans="1:5" x14ac:dyDescent="0.25">
      <c r="B13">
        <v>3654</v>
      </c>
      <c r="C13">
        <v>3322851</v>
      </c>
      <c r="D13">
        <v>195179</v>
      </c>
      <c r="E13">
        <v>207540</v>
      </c>
    </row>
    <row r="15" spans="1:5" x14ac:dyDescent="0.25">
      <c r="A15" t="s">
        <v>7</v>
      </c>
      <c r="B15">
        <f t="array" ref="B15:E18">MINVERSE($B$10:$E$13)</f>
        <v>0.10470279509977619</v>
      </c>
      <c r="C15">
        <v>4.7881681468376E-6</v>
      </c>
      <c r="D15">
        <v>-8.0120262280471049E-5</v>
      </c>
      <c r="E15">
        <v>-1.8447363878665776E-3</v>
      </c>
    </row>
    <row r="16" spans="1:5" x14ac:dyDescent="0.25">
      <c r="B16">
        <v>4.7881681468377304E-6</v>
      </c>
      <c r="C16">
        <v>1.3353728028576493E-7</v>
      </c>
      <c r="D16">
        <v>-3.0898500122773876E-8</v>
      </c>
      <c r="E16">
        <v>-2.1932625681214052E-6</v>
      </c>
    </row>
    <row r="17" spans="1:5" x14ac:dyDescent="0.25">
      <c r="B17">
        <v>-8.012026228047048E-5</v>
      </c>
      <c r="C17">
        <v>-3.0898500122774074E-8</v>
      </c>
      <c r="D17">
        <v>5.7659571746581237E-6</v>
      </c>
      <c r="E17">
        <v>-3.5172169460744858E-6</v>
      </c>
    </row>
    <row r="18" spans="1:5" x14ac:dyDescent="0.25">
      <c r="B18">
        <v>-1.8447363878665807E-3</v>
      </c>
      <c r="C18">
        <v>-2.1932625681214027E-6</v>
      </c>
      <c r="D18">
        <v>-3.5172169460744798E-6</v>
      </c>
      <c r="E18">
        <v>7.5720527923904435E-5</v>
      </c>
    </row>
    <row r="20" spans="1:5" x14ac:dyDescent="0.25">
      <c r="A20" t="s">
        <v>8</v>
      </c>
      <c r="B20">
        <f t="array" ref="B20:E20">MMULT(TRANSPOSE($B$5:$B$8),$B$15:$E$18)</f>
        <v>2.2115896477914537E-2</v>
      </c>
      <c r="C20">
        <v>-3.4318515530169612E-5</v>
      </c>
      <c r="D20">
        <v>5.2289677231887987E-6</v>
      </c>
      <c r="E20">
        <v>3.671737651845218E-4</v>
      </c>
    </row>
    <row r="22" spans="1:5" x14ac:dyDescent="0.25">
      <c r="A22" t="s">
        <v>9</v>
      </c>
      <c r="B22">
        <f>MMULT($B$20:$E$20,$B$5:$B$8)</f>
        <v>2.3401469892579175E-2</v>
      </c>
    </row>
    <row r="23" spans="1:5" x14ac:dyDescent="0.25">
      <c r="A23" t="s">
        <v>10</v>
      </c>
      <c r="B23">
        <f>_xlfn.T.INV.2T(1 - B4, [1]COMPUTE!$B$13)</f>
        <v>1.9944371117711854</v>
      </c>
    </row>
    <row r="24" spans="1:5" x14ac:dyDescent="0.25">
      <c r="A24" s="5" t="s">
        <v>11</v>
      </c>
      <c r="B24" s="5">
        <f t="array" ref="B24">MMULT(TRANSPOSE($B$5:$B$8), [1]COMPUTE!$B$17:$B$20)</f>
        <v>541.55896082217737</v>
      </c>
    </row>
    <row r="25" spans="1:5" x14ac:dyDescent="0.25">
      <c r="A25" s="6"/>
      <c r="B25" s="6"/>
    </row>
    <row r="26" spans="1:5" x14ac:dyDescent="0.25">
      <c r="A26" s="10" t="s">
        <v>12</v>
      </c>
      <c r="B26" s="10"/>
    </row>
    <row r="27" spans="1:5" x14ac:dyDescent="0.25">
      <c r="A27" s="7" t="s">
        <v>13</v>
      </c>
      <c r="B27" s="7">
        <f>B23 * SQRT(B22) * [1]COMPUTE!$B$7</f>
        <v>37.16143459408385</v>
      </c>
    </row>
    <row r="28" spans="1:5" x14ac:dyDescent="0.25">
      <c r="A28" s="7" t="s">
        <v>14</v>
      </c>
      <c r="B28" s="7">
        <f>B24 - B27</f>
        <v>504.39752622809351</v>
      </c>
    </row>
    <row r="29" spans="1:5" x14ac:dyDescent="0.25">
      <c r="A29" s="7" t="s">
        <v>15</v>
      </c>
      <c r="B29" s="7">
        <f>B24 + B27</f>
        <v>578.72039541626123</v>
      </c>
    </row>
    <row r="30" spans="1:5" x14ac:dyDescent="0.25">
      <c r="A30" s="6"/>
      <c r="B30" s="6"/>
    </row>
    <row r="31" spans="1:5" x14ac:dyDescent="0.25">
      <c r="A31" s="10" t="s">
        <v>16</v>
      </c>
      <c r="B31" s="10"/>
    </row>
    <row r="32" spans="1:5" x14ac:dyDescent="0.25">
      <c r="A32" s="7" t="s">
        <v>13</v>
      </c>
      <c r="B32" s="7">
        <f>B23 * SQRT(1 + B22)*[1]COMPUTE!$B$7</f>
        <v>245.75022319325035</v>
      </c>
    </row>
    <row r="33" spans="1:2" x14ac:dyDescent="0.25">
      <c r="A33" s="7" t="s">
        <v>17</v>
      </c>
      <c r="B33" s="7">
        <f>B24 - B32</f>
        <v>295.80873762892702</v>
      </c>
    </row>
    <row r="34" spans="1:2" x14ac:dyDescent="0.25">
      <c r="A34" s="7" t="s">
        <v>18</v>
      </c>
      <c r="B34" s="7">
        <f>B24 + B32</f>
        <v>787.30918401542772</v>
      </c>
    </row>
  </sheetData>
  <sheetProtection sheet="1"/>
  <mergeCells count="3">
    <mergeCell ref="A3:B3"/>
    <mergeCell ref="A26:B26"/>
    <mergeCell ref="A31:B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DAB8-4B7A-48A1-BCF1-7F44149F8552}">
  <dimension ref="A2:B2"/>
  <sheetViews>
    <sheetView workbookViewId="0">
      <selection activeCell="A2" sqref="A2"/>
    </sheetView>
  </sheetViews>
  <sheetFormatPr defaultRowHeight="15" x14ac:dyDescent="0.25"/>
  <sheetData>
    <row r="2" spans="1:2" x14ac:dyDescent="0.25">
      <c r="A2" s="5">
        <f>'Enter Performance Indicators'!B24/60</f>
        <v>9.0259826803696228</v>
      </c>
      <c r="B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8876-7762-4221-9F81-BA1848C72DDE}">
  <dimension ref="A1:J102"/>
  <sheetViews>
    <sheetView workbookViewId="0">
      <selection activeCell="G18" sqref="G18"/>
    </sheetView>
  </sheetViews>
  <sheetFormatPr defaultRowHeight="15" x14ac:dyDescent="0.25"/>
  <sheetData>
    <row r="1" spans="1:10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 spans="1:10" x14ac:dyDescent="0.25">
      <c r="A2">
        <v>1</v>
      </c>
      <c r="B2" t="s">
        <v>30</v>
      </c>
      <c r="C2" t="s">
        <v>31</v>
      </c>
      <c r="D2" t="s">
        <v>32</v>
      </c>
      <c r="E2">
        <v>391</v>
      </c>
      <c r="F2">
        <v>595</v>
      </c>
      <c r="G2">
        <v>31</v>
      </c>
      <c r="H2">
        <v>38</v>
      </c>
      <c r="I2">
        <v>79</v>
      </c>
      <c r="J2">
        <v>0</v>
      </c>
    </row>
    <row r="3" spans="1:10" x14ac:dyDescent="0.25">
      <c r="A3">
        <v>2</v>
      </c>
      <c r="B3" t="s">
        <v>33</v>
      </c>
      <c r="C3" t="s">
        <v>34</v>
      </c>
      <c r="D3" t="s">
        <v>35</v>
      </c>
      <c r="E3">
        <v>430</v>
      </c>
      <c r="F3">
        <v>479</v>
      </c>
      <c r="G3">
        <v>55</v>
      </c>
      <c r="H3">
        <v>33</v>
      </c>
      <c r="I3">
        <v>76</v>
      </c>
      <c r="J3">
        <v>1</v>
      </c>
    </row>
    <row r="4" spans="1:10" x14ac:dyDescent="0.25">
      <c r="A4">
        <v>3</v>
      </c>
      <c r="B4" t="s">
        <v>36</v>
      </c>
      <c r="C4" t="s">
        <v>34</v>
      </c>
      <c r="D4" t="s">
        <v>37</v>
      </c>
      <c r="E4">
        <v>429</v>
      </c>
      <c r="F4">
        <v>497</v>
      </c>
      <c r="G4">
        <v>15</v>
      </c>
      <c r="H4">
        <v>33</v>
      </c>
      <c r="I4">
        <v>117</v>
      </c>
      <c r="J4">
        <v>1</v>
      </c>
    </row>
    <row r="5" spans="1:10" x14ac:dyDescent="0.25">
      <c r="A5">
        <v>4</v>
      </c>
      <c r="B5" t="s">
        <v>38</v>
      </c>
      <c r="C5" t="s">
        <v>34</v>
      </c>
      <c r="D5" t="s">
        <v>39</v>
      </c>
      <c r="E5">
        <v>1084</v>
      </c>
      <c r="F5">
        <v>860</v>
      </c>
      <c r="G5">
        <v>42</v>
      </c>
      <c r="H5">
        <v>69</v>
      </c>
      <c r="I5">
        <v>92</v>
      </c>
      <c r="J5">
        <v>0</v>
      </c>
    </row>
    <row r="6" spans="1:10" x14ac:dyDescent="0.25">
      <c r="A6">
        <v>5</v>
      </c>
      <c r="B6" t="s">
        <v>40</v>
      </c>
      <c r="C6" t="s">
        <v>31</v>
      </c>
      <c r="D6" t="s">
        <v>41</v>
      </c>
      <c r="E6">
        <v>399</v>
      </c>
      <c r="F6">
        <v>534</v>
      </c>
      <c r="G6">
        <v>84</v>
      </c>
      <c r="H6">
        <v>23</v>
      </c>
      <c r="I6">
        <v>97</v>
      </c>
      <c r="J6">
        <v>1</v>
      </c>
    </row>
    <row r="7" spans="1:10" x14ac:dyDescent="0.25">
      <c r="A7">
        <v>6</v>
      </c>
      <c r="B7" t="s">
        <v>33</v>
      </c>
      <c r="C7" t="s">
        <v>34</v>
      </c>
      <c r="D7" t="s">
        <v>42</v>
      </c>
      <c r="E7">
        <v>839</v>
      </c>
      <c r="F7">
        <v>1071</v>
      </c>
      <c r="G7">
        <v>67</v>
      </c>
      <c r="H7">
        <v>44</v>
      </c>
      <c r="I7">
        <v>106</v>
      </c>
      <c r="J7">
        <v>0</v>
      </c>
    </row>
    <row r="8" spans="1:10" x14ac:dyDescent="0.25">
      <c r="A8">
        <v>7</v>
      </c>
      <c r="B8" t="s">
        <v>36</v>
      </c>
      <c r="C8" t="s">
        <v>34</v>
      </c>
      <c r="D8" t="s">
        <v>43</v>
      </c>
      <c r="E8">
        <v>744</v>
      </c>
      <c r="F8">
        <v>865</v>
      </c>
      <c r="G8">
        <v>51</v>
      </c>
      <c r="H8">
        <v>53</v>
      </c>
      <c r="I8">
        <v>97</v>
      </c>
      <c r="J8">
        <v>1</v>
      </c>
    </row>
    <row r="9" spans="1:10" x14ac:dyDescent="0.25">
      <c r="A9">
        <v>8</v>
      </c>
      <c r="B9" t="s">
        <v>40</v>
      </c>
      <c r="C9" t="s">
        <v>31</v>
      </c>
      <c r="D9" t="s">
        <v>44</v>
      </c>
      <c r="E9">
        <v>292</v>
      </c>
      <c r="F9">
        <v>452</v>
      </c>
      <c r="G9">
        <v>20</v>
      </c>
      <c r="H9">
        <v>26</v>
      </c>
      <c r="I9">
        <v>123</v>
      </c>
      <c r="J9">
        <v>1</v>
      </c>
    </row>
    <row r="10" spans="1:10" x14ac:dyDescent="0.25">
      <c r="A10">
        <v>9</v>
      </c>
      <c r="B10" t="s">
        <v>45</v>
      </c>
      <c r="C10" t="s">
        <v>46</v>
      </c>
      <c r="D10" t="s">
        <v>47</v>
      </c>
      <c r="E10">
        <v>265</v>
      </c>
      <c r="F10">
        <v>510</v>
      </c>
      <c r="G10">
        <v>20</v>
      </c>
      <c r="H10">
        <v>24</v>
      </c>
      <c r="I10">
        <v>118</v>
      </c>
      <c r="J10">
        <v>0</v>
      </c>
    </row>
    <row r="11" spans="1:10" x14ac:dyDescent="0.25">
      <c r="A11">
        <v>10</v>
      </c>
      <c r="B11" t="s">
        <v>45</v>
      </c>
      <c r="C11" t="s">
        <v>46</v>
      </c>
      <c r="D11" t="s">
        <v>48</v>
      </c>
      <c r="E11">
        <v>891</v>
      </c>
      <c r="F11">
        <v>1383</v>
      </c>
      <c r="G11">
        <v>45</v>
      </c>
      <c r="H11">
        <v>42</v>
      </c>
      <c r="I11">
        <v>104</v>
      </c>
      <c r="J11">
        <v>0</v>
      </c>
    </row>
    <row r="12" spans="1:10" x14ac:dyDescent="0.25">
      <c r="A12">
        <v>11</v>
      </c>
      <c r="B12" t="s">
        <v>36</v>
      </c>
      <c r="C12" t="s">
        <v>34</v>
      </c>
      <c r="D12" t="s">
        <v>49</v>
      </c>
      <c r="E12">
        <v>371</v>
      </c>
      <c r="F12">
        <v>557</v>
      </c>
      <c r="G12">
        <v>9</v>
      </c>
      <c r="H12">
        <v>23</v>
      </c>
      <c r="I12">
        <v>142</v>
      </c>
      <c r="J12">
        <v>1</v>
      </c>
    </row>
    <row r="13" spans="1:10" x14ac:dyDescent="0.25">
      <c r="A13">
        <v>12</v>
      </c>
      <c r="B13" t="s">
        <v>40</v>
      </c>
      <c r="C13" t="s">
        <v>34</v>
      </c>
      <c r="D13" t="s">
        <v>50</v>
      </c>
      <c r="E13">
        <v>454</v>
      </c>
      <c r="F13">
        <v>444</v>
      </c>
      <c r="G13">
        <v>10</v>
      </c>
      <c r="H13">
        <v>25</v>
      </c>
      <c r="I13">
        <v>148</v>
      </c>
      <c r="J13">
        <v>0</v>
      </c>
    </row>
    <row r="14" spans="1:10" x14ac:dyDescent="0.25">
      <c r="A14">
        <v>13</v>
      </c>
      <c r="B14" t="s">
        <v>40</v>
      </c>
      <c r="C14" t="s">
        <v>31</v>
      </c>
      <c r="D14" t="s">
        <v>51</v>
      </c>
      <c r="E14">
        <v>480</v>
      </c>
      <c r="F14">
        <v>464</v>
      </c>
      <c r="G14">
        <v>30</v>
      </c>
      <c r="H14">
        <v>43</v>
      </c>
      <c r="I14">
        <v>110</v>
      </c>
      <c r="J14">
        <v>1</v>
      </c>
    </row>
    <row r="15" spans="1:10" x14ac:dyDescent="0.25">
      <c r="A15">
        <v>14</v>
      </c>
      <c r="B15" t="s">
        <v>38</v>
      </c>
      <c r="C15" t="s">
        <v>34</v>
      </c>
      <c r="D15" t="s">
        <v>52</v>
      </c>
      <c r="E15">
        <v>397</v>
      </c>
      <c r="F15">
        <v>445</v>
      </c>
      <c r="G15">
        <v>10</v>
      </c>
      <c r="H15">
        <v>30</v>
      </c>
      <c r="I15">
        <v>144</v>
      </c>
      <c r="J15">
        <v>1</v>
      </c>
    </row>
    <row r="16" spans="1:10" x14ac:dyDescent="0.25">
      <c r="A16">
        <v>15</v>
      </c>
      <c r="B16" t="s">
        <v>40</v>
      </c>
      <c r="C16" t="s">
        <v>34</v>
      </c>
      <c r="D16" t="s">
        <v>53</v>
      </c>
      <c r="E16">
        <v>1071</v>
      </c>
      <c r="F16">
        <v>414</v>
      </c>
      <c r="G16">
        <v>299</v>
      </c>
      <c r="H16">
        <v>47</v>
      </c>
      <c r="I16">
        <v>109</v>
      </c>
      <c r="J16">
        <v>0</v>
      </c>
    </row>
    <row r="17" spans="1:10" x14ac:dyDescent="0.25">
      <c r="A17">
        <v>16</v>
      </c>
      <c r="B17" t="s">
        <v>36</v>
      </c>
      <c r="C17" t="s">
        <v>34</v>
      </c>
      <c r="D17" t="s">
        <v>54</v>
      </c>
      <c r="E17">
        <v>284</v>
      </c>
      <c r="F17">
        <v>306</v>
      </c>
      <c r="G17">
        <v>10</v>
      </c>
      <c r="H17">
        <v>22</v>
      </c>
      <c r="I17">
        <v>126</v>
      </c>
      <c r="J17">
        <v>1</v>
      </c>
    </row>
    <row r="18" spans="1:10" x14ac:dyDescent="0.25">
      <c r="A18">
        <v>17</v>
      </c>
      <c r="B18" t="s">
        <v>38</v>
      </c>
      <c r="C18" t="s">
        <v>34</v>
      </c>
      <c r="D18" t="s">
        <v>55</v>
      </c>
      <c r="E18">
        <v>400</v>
      </c>
      <c r="F18">
        <v>494</v>
      </c>
      <c r="G18">
        <v>10</v>
      </c>
      <c r="H18">
        <v>23</v>
      </c>
      <c r="I18">
        <v>106</v>
      </c>
      <c r="J18">
        <v>1</v>
      </c>
    </row>
    <row r="19" spans="1:10" x14ac:dyDescent="0.25">
      <c r="A19">
        <v>18</v>
      </c>
      <c r="B19" t="s">
        <v>33</v>
      </c>
      <c r="C19" t="s">
        <v>46</v>
      </c>
      <c r="D19" t="s">
        <v>56</v>
      </c>
      <c r="E19">
        <v>779</v>
      </c>
      <c r="F19">
        <v>1026</v>
      </c>
      <c r="G19">
        <v>28</v>
      </c>
      <c r="H19">
        <v>59</v>
      </c>
      <c r="I19">
        <v>114</v>
      </c>
      <c r="J19">
        <v>1</v>
      </c>
    </row>
    <row r="20" spans="1:10" x14ac:dyDescent="0.25">
      <c r="A20">
        <v>19</v>
      </c>
      <c r="B20" t="s">
        <v>57</v>
      </c>
      <c r="C20" t="s">
        <v>34</v>
      </c>
      <c r="D20" t="s">
        <v>58</v>
      </c>
      <c r="E20">
        <v>955</v>
      </c>
      <c r="F20">
        <v>1030</v>
      </c>
      <c r="G20">
        <v>172</v>
      </c>
      <c r="H20">
        <v>54</v>
      </c>
      <c r="I20">
        <v>127</v>
      </c>
      <c r="J20">
        <v>1</v>
      </c>
    </row>
    <row r="21" spans="1:10" x14ac:dyDescent="0.25">
      <c r="A21">
        <v>20</v>
      </c>
      <c r="B21" t="s">
        <v>40</v>
      </c>
      <c r="C21" t="s">
        <v>34</v>
      </c>
      <c r="D21" t="s">
        <v>59</v>
      </c>
      <c r="E21">
        <v>320</v>
      </c>
      <c r="F21">
        <v>450</v>
      </c>
      <c r="G21">
        <v>25</v>
      </c>
      <c r="H21">
        <v>23</v>
      </c>
      <c r="I21">
        <v>130</v>
      </c>
      <c r="J21">
        <v>0</v>
      </c>
    </row>
    <row r="22" spans="1:10" x14ac:dyDescent="0.25">
      <c r="A22">
        <v>21</v>
      </c>
      <c r="B22" t="s">
        <v>36</v>
      </c>
      <c r="C22" t="s">
        <v>46</v>
      </c>
      <c r="D22" t="s">
        <v>60</v>
      </c>
      <c r="E22">
        <v>260</v>
      </c>
      <c r="F22">
        <v>387</v>
      </c>
      <c r="G22">
        <v>12</v>
      </c>
      <c r="H22">
        <v>24</v>
      </c>
      <c r="I22">
        <v>144</v>
      </c>
      <c r="J22">
        <v>0</v>
      </c>
    </row>
    <row r="23" spans="1:10" x14ac:dyDescent="0.25">
      <c r="A23">
        <v>22</v>
      </c>
      <c r="B23" t="s">
        <v>30</v>
      </c>
      <c r="C23" t="s">
        <v>46</v>
      </c>
      <c r="D23" t="s">
        <v>61</v>
      </c>
      <c r="E23">
        <v>781</v>
      </c>
      <c r="F23">
        <v>1151</v>
      </c>
      <c r="G23">
        <v>45</v>
      </c>
      <c r="H23">
        <v>62</v>
      </c>
      <c r="I23">
        <v>138</v>
      </c>
      <c r="J23">
        <v>1</v>
      </c>
    </row>
    <row r="24" spans="1:10" x14ac:dyDescent="0.25">
      <c r="A24">
        <v>23</v>
      </c>
      <c r="B24" t="s">
        <v>40</v>
      </c>
      <c r="C24" t="s">
        <v>31</v>
      </c>
      <c r="D24" t="s">
        <v>62</v>
      </c>
      <c r="E24">
        <v>525</v>
      </c>
      <c r="F24">
        <v>562</v>
      </c>
      <c r="G24">
        <v>26</v>
      </c>
      <c r="H24">
        <v>43</v>
      </c>
      <c r="I24">
        <v>166</v>
      </c>
      <c r="J24">
        <v>0</v>
      </c>
    </row>
    <row r="25" spans="1:10" x14ac:dyDescent="0.25">
      <c r="A25">
        <v>24</v>
      </c>
      <c r="B25" t="s">
        <v>38</v>
      </c>
      <c r="C25" t="s">
        <v>46</v>
      </c>
      <c r="D25" t="s">
        <v>63</v>
      </c>
      <c r="E25">
        <v>874</v>
      </c>
      <c r="F25">
        <v>756</v>
      </c>
      <c r="G25">
        <v>14</v>
      </c>
      <c r="H25">
        <v>50</v>
      </c>
      <c r="I25">
        <v>149</v>
      </c>
      <c r="J25">
        <v>1</v>
      </c>
    </row>
    <row r="26" spans="1:10" x14ac:dyDescent="0.25">
      <c r="A26">
        <v>25</v>
      </c>
      <c r="B26" t="s">
        <v>57</v>
      </c>
      <c r="C26" t="s">
        <v>34</v>
      </c>
      <c r="D26" t="s">
        <v>64</v>
      </c>
      <c r="E26">
        <v>354</v>
      </c>
      <c r="F26">
        <v>336</v>
      </c>
      <c r="G26">
        <v>11</v>
      </c>
      <c r="H26">
        <v>42</v>
      </c>
      <c r="I26">
        <v>153</v>
      </c>
      <c r="J26">
        <v>0</v>
      </c>
    </row>
    <row r="27" spans="1:10" x14ac:dyDescent="0.25">
      <c r="A27">
        <v>26</v>
      </c>
      <c r="B27" t="s">
        <v>57</v>
      </c>
      <c r="C27" t="s">
        <v>34</v>
      </c>
      <c r="D27" t="s">
        <v>65</v>
      </c>
      <c r="E27">
        <v>871</v>
      </c>
      <c r="F27">
        <v>1193</v>
      </c>
      <c r="G27">
        <v>127</v>
      </c>
      <c r="H27">
        <v>59</v>
      </c>
      <c r="I27">
        <v>118</v>
      </c>
      <c r="J27">
        <v>0</v>
      </c>
    </row>
    <row r="28" spans="1:10" x14ac:dyDescent="0.25">
      <c r="A28">
        <v>27</v>
      </c>
      <c r="B28" t="s">
        <v>57</v>
      </c>
      <c r="C28" t="s">
        <v>31</v>
      </c>
      <c r="D28" t="s">
        <v>66</v>
      </c>
      <c r="E28">
        <v>645</v>
      </c>
      <c r="F28">
        <v>998</v>
      </c>
      <c r="G28">
        <v>12</v>
      </c>
      <c r="H28">
        <v>48</v>
      </c>
      <c r="I28">
        <v>141</v>
      </c>
      <c r="J28">
        <v>1</v>
      </c>
    </row>
    <row r="29" spans="1:10" x14ac:dyDescent="0.25">
      <c r="A29">
        <v>28</v>
      </c>
      <c r="B29" t="s">
        <v>40</v>
      </c>
      <c r="C29" t="s">
        <v>31</v>
      </c>
      <c r="D29" t="s">
        <v>67</v>
      </c>
      <c r="E29">
        <v>463</v>
      </c>
      <c r="F29">
        <v>642</v>
      </c>
      <c r="G29">
        <v>32</v>
      </c>
      <c r="H29">
        <v>33</v>
      </c>
      <c r="I29">
        <v>144</v>
      </c>
      <c r="J29">
        <v>1</v>
      </c>
    </row>
    <row r="30" spans="1:10" x14ac:dyDescent="0.25">
      <c r="A30">
        <v>29</v>
      </c>
      <c r="B30" t="s">
        <v>30</v>
      </c>
      <c r="C30" t="s">
        <v>34</v>
      </c>
      <c r="D30" t="s">
        <v>68</v>
      </c>
      <c r="E30">
        <v>1012</v>
      </c>
      <c r="F30">
        <v>838</v>
      </c>
      <c r="G30">
        <v>31</v>
      </c>
      <c r="H30">
        <v>76</v>
      </c>
      <c r="I30">
        <v>125</v>
      </c>
      <c r="J30">
        <v>1</v>
      </c>
    </row>
    <row r="31" spans="1:10" x14ac:dyDescent="0.25">
      <c r="A31">
        <v>30</v>
      </c>
      <c r="B31" t="s">
        <v>30</v>
      </c>
      <c r="C31" t="s">
        <v>34</v>
      </c>
      <c r="D31" t="s">
        <v>69</v>
      </c>
      <c r="E31">
        <v>246</v>
      </c>
      <c r="F31">
        <v>297</v>
      </c>
      <c r="G31">
        <v>6</v>
      </c>
      <c r="H31">
        <v>23</v>
      </c>
      <c r="I31">
        <v>137</v>
      </c>
      <c r="J31">
        <v>1</v>
      </c>
    </row>
    <row r="32" spans="1:10" x14ac:dyDescent="0.25">
      <c r="A32">
        <v>31</v>
      </c>
      <c r="B32" t="s">
        <v>30</v>
      </c>
      <c r="C32" t="s">
        <v>46</v>
      </c>
      <c r="D32" t="s">
        <v>70</v>
      </c>
      <c r="E32">
        <v>667</v>
      </c>
      <c r="F32">
        <v>789</v>
      </c>
      <c r="G32">
        <v>6</v>
      </c>
      <c r="H32">
        <v>50</v>
      </c>
      <c r="I32">
        <v>104</v>
      </c>
      <c r="J32">
        <v>1</v>
      </c>
    </row>
    <row r="33" spans="1:10" x14ac:dyDescent="0.25">
      <c r="A33">
        <v>32</v>
      </c>
      <c r="B33" t="s">
        <v>57</v>
      </c>
      <c r="C33" t="s">
        <v>31</v>
      </c>
      <c r="D33" t="s">
        <v>71</v>
      </c>
      <c r="E33">
        <v>1060</v>
      </c>
      <c r="F33">
        <v>1403</v>
      </c>
      <c r="G33">
        <v>32</v>
      </c>
      <c r="H33">
        <v>75</v>
      </c>
      <c r="I33">
        <v>134</v>
      </c>
      <c r="J33">
        <v>1</v>
      </c>
    </row>
    <row r="34" spans="1:10" x14ac:dyDescent="0.25">
      <c r="A34">
        <v>33</v>
      </c>
      <c r="B34" t="s">
        <v>38</v>
      </c>
      <c r="C34" t="s">
        <v>31</v>
      </c>
      <c r="D34" t="s">
        <v>72</v>
      </c>
      <c r="E34">
        <v>213</v>
      </c>
      <c r="F34">
        <v>294</v>
      </c>
      <c r="G34">
        <v>25</v>
      </c>
      <c r="H34">
        <v>23</v>
      </c>
      <c r="I34">
        <v>232</v>
      </c>
      <c r="J34">
        <v>0</v>
      </c>
    </row>
    <row r="35" spans="1:10" x14ac:dyDescent="0.25">
      <c r="A35">
        <v>34</v>
      </c>
      <c r="B35" t="s">
        <v>36</v>
      </c>
      <c r="C35" t="s">
        <v>34</v>
      </c>
      <c r="D35" t="s">
        <v>73</v>
      </c>
      <c r="E35">
        <v>395</v>
      </c>
      <c r="F35">
        <v>469</v>
      </c>
      <c r="G35">
        <v>23</v>
      </c>
      <c r="H35">
        <v>29</v>
      </c>
      <c r="I35">
        <v>102</v>
      </c>
      <c r="J35">
        <v>1</v>
      </c>
    </row>
    <row r="36" spans="1:10" x14ac:dyDescent="0.25">
      <c r="A36">
        <v>35</v>
      </c>
      <c r="B36" t="s">
        <v>57</v>
      </c>
      <c r="C36" t="s">
        <v>34</v>
      </c>
      <c r="D36" t="s">
        <v>74</v>
      </c>
      <c r="E36">
        <v>1111</v>
      </c>
      <c r="F36">
        <v>1490</v>
      </c>
      <c r="G36">
        <v>72</v>
      </c>
      <c r="H36">
        <v>73</v>
      </c>
      <c r="I36">
        <v>123</v>
      </c>
      <c r="J36">
        <v>1</v>
      </c>
    </row>
    <row r="37" spans="1:10" x14ac:dyDescent="0.25">
      <c r="A37">
        <v>36</v>
      </c>
      <c r="B37" t="s">
        <v>57</v>
      </c>
      <c r="C37" t="s">
        <v>46</v>
      </c>
      <c r="D37" t="s">
        <v>75</v>
      </c>
      <c r="E37">
        <v>461</v>
      </c>
      <c r="F37">
        <v>767</v>
      </c>
      <c r="G37">
        <v>60</v>
      </c>
      <c r="H37">
        <v>44</v>
      </c>
      <c r="I37">
        <v>103</v>
      </c>
      <c r="J37">
        <v>1</v>
      </c>
    </row>
    <row r="38" spans="1:10" x14ac:dyDescent="0.25">
      <c r="A38">
        <v>37</v>
      </c>
      <c r="B38" t="s">
        <v>36</v>
      </c>
      <c r="C38" t="s">
        <v>46</v>
      </c>
      <c r="D38" t="s">
        <v>76</v>
      </c>
      <c r="E38">
        <v>691</v>
      </c>
      <c r="F38">
        <v>712</v>
      </c>
      <c r="G38">
        <v>35</v>
      </c>
      <c r="H38">
        <v>64</v>
      </c>
      <c r="I38">
        <v>118</v>
      </c>
      <c r="J38">
        <v>1</v>
      </c>
    </row>
    <row r="39" spans="1:10" x14ac:dyDescent="0.25">
      <c r="A39">
        <v>38</v>
      </c>
      <c r="B39" t="s">
        <v>40</v>
      </c>
      <c r="C39" t="s">
        <v>34</v>
      </c>
      <c r="D39" t="s">
        <v>77</v>
      </c>
      <c r="E39">
        <v>945</v>
      </c>
      <c r="F39">
        <v>968</v>
      </c>
      <c r="G39">
        <v>79</v>
      </c>
      <c r="H39">
        <v>60</v>
      </c>
      <c r="I39">
        <v>95</v>
      </c>
      <c r="J39">
        <v>1</v>
      </c>
    </row>
    <row r="40" spans="1:10" x14ac:dyDescent="0.25">
      <c r="A40">
        <v>39</v>
      </c>
      <c r="B40" t="s">
        <v>30</v>
      </c>
      <c r="C40" t="s">
        <v>46</v>
      </c>
      <c r="D40" t="s">
        <v>78</v>
      </c>
      <c r="E40">
        <v>641</v>
      </c>
      <c r="F40">
        <v>978</v>
      </c>
      <c r="G40">
        <v>20</v>
      </c>
      <c r="H40">
        <v>52</v>
      </c>
      <c r="I40">
        <v>113</v>
      </c>
      <c r="J40">
        <v>0</v>
      </c>
    </row>
    <row r="41" spans="1:10" x14ac:dyDescent="0.25">
      <c r="A41">
        <v>40</v>
      </c>
      <c r="B41" t="s">
        <v>30</v>
      </c>
      <c r="C41" t="s">
        <v>31</v>
      </c>
      <c r="D41" t="s">
        <v>79</v>
      </c>
      <c r="E41">
        <v>611</v>
      </c>
      <c r="F41">
        <v>519</v>
      </c>
      <c r="G41">
        <v>44</v>
      </c>
      <c r="H41">
        <v>46</v>
      </c>
      <c r="I41">
        <v>127</v>
      </c>
      <c r="J41">
        <v>1</v>
      </c>
    </row>
    <row r="42" spans="1:10" x14ac:dyDescent="0.25">
      <c r="A42">
        <v>41</v>
      </c>
      <c r="B42" t="s">
        <v>57</v>
      </c>
      <c r="C42" t="s">
        <v>46</v>
      </c>
      <c r="D42" t="s">
        <v>80</v>
      </c>
      <c r="E42">
        <v>764</v>
      </c>
      <c r="F42">
        <v>1310</v>
      </c>
      <c r="G42">
        <v>47</v>
      </c>
      <c r="H42">
        <v>75</v>
      </c>
      <c r="I42">
        <v>127</v>
      </c>
      <c r="J42">
        <v>1</v>
      </c>
    </row>
    <row r="43" spans="1:10" x14ac:dyDescent="0.25">
      <c r="A43">
        <v>42</v>
      </c>
      <c r="B43" t="s">
        <v>36</v>
      </c>
      <c r="C43" t="s">
        <v>46</v>
      </c>
      <c r="D43" t="s">
        <v>81</v>
      </c>
      <c r="E43">
        <v>745</v>
      </c>
      <c r="F43">
        <v>714</v>
      </c>
      <c r="G43">
        <v>53</v>
      </c>
      <c r="H43">
        <v>60</v>
      </c>
      <c r="I43">
        <v>124</v>
      </c>
      <c r="J43">
        <v>1</v>
      </c>
    </row>
    <row r="44" spans="1:10" x14ac:dyDescent="0.25">
      <c r="A44">
        <v>43</v>
      </c>
      <c r="B44" t="s">
        <v>30</v>
      </c>
      <c r="C44" t="s">
        <v>31</v>
      </c>
      <c r="D44" t="s">
        <v>82</v>
      </c>
      <c r="E44">
        <v>838</v>
      </c>
      <c r="F44">
        <v>1051</v>
      </c>
      <c r="G44">
        <v>80</v>
      </c>
      <c r="H44">
        <v>61</v>
      </c>
      <c r="I44">
        <v>137</v>
      </c>
      <c r="J44">
        <v>1</v>
      </c>
    </row>
    <row r="45" spans="1:10" x14ac:dyDescent="0.25">
      <c r="A45">
        <v>44</v>
      </c>
      <c r="B45" t="s">
        <v>30</v>
      </c>
      <c r="C45" t="s">
        <v>31</v>
      </c>
      <c r="D45" t="s">
        <v>83</v>
      </c>
      <c r="E45">
        <v>419</v>
      </c>
      <c r="F45">
        <v>368</v>
      </c>
      <c r="G45">
        <v>26</v>
      </c>
      <c r="H45">
        <v>49</v>
      </c>
      <c r="I45">
        <v>128</v>
      </c>
      <c r="J45">
        <v>0</v>
      </c>
    </row>
    <row r="46" spans="1:10" x14ac:dyDescent="0.25">
      <c r="A46">
        <v>45</v>
      </c>
      <c r="B46" t="s">
        <v>36</v>
      </c>
      <c r="C46" t="s">
        <v>34</v>
      </c>
      <c r="D46" t="s">
        <v>84</v>
      </c>
      <c r="E46">
        <v>343</v>
      </c>
      <c r="F46">
        <v>307</v>
      </c>
      <c r="G46">
        <v>12</v>
      </c>
      <c r="H46">
        <v>29</v>
      </c>
      <c r="I46">
        <v>124</v>
      </c>
      <c r="J46">
        <v>0</v>
      </c>
    </row>
    <row r="47" spans="1:10" x14ac:dyDescent="0.25">
      <c r="A47">
        <v>46</v>
      </c>
      <c r="B47" t="s">
        <v>40</v>
      </c>
      <c r="C47" t="s">
        <v>31</v>
      </c>
      <c r="D47" t="s">
        <v>85</v>
      </c>
      <c r="E47">
        <v>730</v>
      </c>
      <c r="F47">
        <v>764</v>
      </c>
      <c r="G47">
        <v>16</v>
      </c>
      <c r="H47">
        <v>49</v>
      </c>
      <c r="I47">
        <v>124</v>
      </c>
      <c r="J47">
        <v>1</v>
      </c>
    </row>
    <row r="48" spans="1:10" x14ac:dyDescent="0.25">
      <c r="A48">
        <v>47</v>
      </c>
      <c r="B48" t="s">
        <v>30</v>
      </c>
      <c r="C48" t="s">
        <v>31</v>
      </c>
      <c r="D48" t="s">
        <v>86</v>
      </c>
      <c r="E48">
        <v>1009</v>
      </c>
      <c r="F48">
        <v>766</v>
      </c>
      <c r="G48">
        <v>63</v>
      </c>
      <c r="H48">
        <v>90</v>
      </c>
      <c r="I48">
        <v>113</v>
      </c>
      <c r="J48">
        <v>1</v>
      </c>
    </row>
    <row r="49" spans="1:10" x14ac:dyDescent="0.25">
      <c r="A49">
        <v>48</v>
      </c>
      <c r="B49" t="s">
        <v>30</v>
      </c>
      <c r="C49" t="s">
        <v>31</v>
      </c>
      <c r="D49" t="s">
        <v>87</v>
      </c>
      <c r="E49">
        <v>811</v>
      </c>
      <c r="F49">
        <v>920</v>
      </c>
      <c r="G49">
        <v>49</v>
      </c>
      <c r="H49">
        <v>41</v>
      </c>
      <c r="I49">
        <v>109</v>
      </c>
      <c r="J49">
        <v>1</v>
      </c>
    </row>
    <row r="50" spans="1:10" x14ac:dyDescent="0.25">
      <c r="A50">
        <v>49</v>
      </c>
      <c r="B50" t="s">
        <v>36</v>
      </c>
      <c r="C50" t="s">
        <v>46</v>
      </c>
      <c r="D50" t="s">
        <v>88</v>
      </c>
      <c r="E50">
        <v>140</v>
      </c>
      <c r="F50">
        <v>152</v>
      </c>
      <c r="G50">
        <v>18</v>
      </c>
      <c r="H50">
        <v>22</v>
      </c>
      <c r="I50">
        <v>132</v>
      </c>
      <c r="J50">
        <v>0</v>
      </c>
    </row>
    <row r="51" spans="1:10" x14ac:dyDescent="0.25">
      <c r="A51">
        <v>50</v>
      </c>
      <c r="B51" t="s">
        <v>30</v>
      </c>
      <c r="C51" t="s">
        <v>31</v>
      </c>
      <c r="D51" t="s">
        <v>89</v>
      </c>
      <c r="E51">
        <v>794</v>
      </c>
      <c r="F51">
        <v>861</v>
      </c>
      <c r="G51">
        <v>73</v>
      </c>
      <c r="H51">
        <v>61</v>
      </c>
      <c r="I51">
        <v>117</v>
      </c>
      <c r="J51">
        <v>1</v>
      </c>
    </row>
    <row r="52" spans="1:10" x14ac:dyDescent="0.25">
      <c r="A52">
        <v>51</v>
      </c>
      <c r="B52" t="s">
        <v>38</v>
      </c>
      <c r="C52" t="s">
        <v>34</v>
      </c>
      <c r="D52" t="s">
        <v>90</v>
      </c>
      <c r="E52">
        <v>996</v>
      </c>
      <c r="F52">
        <v>1251</v>
      </c>
      <c r="G52">
        <v>92</v>
      </c>
      <c r="H52">
        <v>78</v>
      </c>
      <c r="I52">
        <v>121</v>
      </c>
      <c r="J52">
        <v>1</v>
      </c>
    </row>
    <row r="53" spans="1:10" x14ac:dyDescent="0.25">
      <c r="A53">
        <v>52</v>
      </c>
      <c r="B53" t="s">
        <v>57</v>
      </c>
      <c r="C53" t="s">
        <v>31</v>
      </c>
      <c r="D53" t="s">
        <v>91</v>
      </c>
      <c r="E53">
        <v>246</v>
      </c>
      <c r="F53">
        <v>299</v>
      </c>
      <c r="G53">
        <v>25</v>
      </c>
      <c r="H53">
        <v>26</v>
      </c>
      <c r="I53">
        <v>130</v>
      </c>
      <c r="J53">
        <v>0</v>
      </c>
    </row>
    <row r="54" spans="1:10" x14ac:dyDescent="0.25">
      <c r="A54">
        <v>53</v>
      </c>
      <c r="B54" t="s">
        <v>30</v>
      </c>
      <c r="C54" t="s">
        <v>34</v>
      </c>
      <c r="D54" t="s">
        <v>92</v>
      </c>
      <c r="E54">
        <v>445</v>
      </c>
      <c r="F54">
        <v>392</v>
      </c>
      <c r="G54">
        <v>10</v>
      </c>
      <c r="H54">
        <v>44</v>
      </c>
      <c r="I54">
        <v>141</v>
      </c>
      <c r="J54">
        <v>1</v>
      </c>
    </row>
    <row r="55" spans="1:10" x14ac:dyDescent="0.25">
      <c r="A55">
        <v>54</v>
      </c>
      <c r="B55" t="s">
        <v>57</v>
      </c>
      <c r="C55" t="s">
        <v>46</v>
      </c>
      <c r="D55" t="s">
        <v>93</v>
      </c>
      <c r="E55">
        <v>872</v>
      </c>
      <c r="F55">
        <v>782</v>
      </c>
      <c r="G55">
        <v>51</v>
      </c>
      <c r="H55">
        <v>60</v>
      </c>
      <c r="I55">
        <v>99</v>
      </c>
      <c r="J55">
        <v>0</v>
      </c>
    </row>
    <row r="56" spans="1:10" x14ac:dyDescent="0.25">
      <c r="A56">
        <v>55</v>
      </c>
      <c r="B56" t="s">
        <v>38</v>
      </c>
      <c r="C56" t="s">
        <v>34</v>
      </c>
      <c r="D56" t="s">
        <v>94</v>
      </c>
      <c r="E56">
        <v>343</v>
      </c>
      <c r="F56">
        <v>292</v>
      </c>
      <c r="G56">
        <v>10</v>
      </c>
      <c r="H56">
        <v>31</v>
      </c>
      <c r="I56">
        <v>110</v>
      </c>
      <c r="J56">
        <v>0</v>
      </c>
    </row>
    <row r="57" spans="1:10" x14ac:dyDescent="0.25">
      <c r="A57">
        <v>56</v>
      </c>
      <c r="B57" t="s">
        <v>36</v>
      </c>
      <c r="C57" t="s">
        <v>46</v>
      </c>
      <c r="D57" t="s">
        <v>95</v>
      </c>
      <c r="E57">
        <v>545</v>
      </c>
      <c r="F57">
        <v>909</v>
      </c>
      <c r="G57">
        <v>12</v>
      </c>
      <c r="H57">
        <v>66</v>
      </c>
      <c r="I57">
        <v>99</v>
      </c>
      <c r="J57">
        <v>0</v>
      </c>
    </row>
    <row r="58" spans="1:10" x14ac:dyDescent="0.25">
      <c r="A58">
        <v>57</v>
      </c>
      <c r="B58" t="s">
        <v>36</v>
      </c>
      <c r="C58" t="s">
        <v>31</v>
      </c>
      <c r="D58" t="s">
        <v>96</v>
      </c>
      <c r="E58">
        <v>1066</v>
      </c>
      <c r="F58">
        <v>2351</v>
      </c>
      <c r="G58">
        <v>57</v>
      </c>
      <c r="H58">
        <v>82</v>
      </c>
      <c r="I58">
        <v>114</v>
      </c>
      <c r="J58">
        <v>1</v>
      </c>
    </row>
    <row r="59" spans="1:10" x14ac:dyDescent="0.25">
      <c r="A59">
        <v>58</v>
      </c>
      <c r="B59" t="s">
        <v>36</v>
      </c>
      <c r="C59" t="s">
        <v>34</v>
      </c>
      <c r="D59" t="s">
        <v>97</v>
      </c>
      <c r="E59">
        <v>611</v>
      </c>
      <c r="F59">
        <v>333</v>
      </c>
      <c r="G59">
        <v>250</v>
      </c>
      <c r="H59">
        <v>30</v>
      </c>
      <c r="I59">
        <v>110</v>
      </c>
      <c r="J59">
        <v>0</v>
      </c>
    </row>
    <row r="60" spans="1:10" x14ac:dyDescent="0.25">
      <c r="A60">
        <v>59</v>
      </c>
      <c r="B60" t="s">
        <v>30</v>
      </c>
      <c r="C60" t="s">
        <v>34</v>
      </c>
      <c r="D60" t="s">
        <v>98</v>
      </c>
      <c r="E60">
        <v>436</v>
      </c>
      <c r="F60">
        <v>544</v>
      </c>
      <c r="G60">
        <v>10</v>
      </c>
      <c r="H60">
        <v>35</v>
      </c>
      <c r="I60">
        <v>130</v>
      </c>
      <c r="J60">
        <v>1</v>
      </c>
    </row>
    <row r="61" spans="1:10" x14ac:dyDescent="0.25">
      <c r="A61">
        <v>60</v>
      </c>
      <c r="B61" t="s">
        <v>36</v>
      </c>
      <c r="C61" t="s">
        <v>34</v>
      </c>
      <c r="D61" t="s">
        <v>99</v>
      </c>
      <c r="E61">
        <v>1042</v>
      </c>
      <c r="F61">
        <v>2061</v>
      </c>
      <c r="G61">
        <v>52</v>
      </c>
      <c r="H61">
        <v>80</v>
      </c>
      <c r="I61">
        <v>124</v>
      </c>
      <c r="J61">
        <v>1</v>
      </c>
    </row>
    <row r="62" spans="1:10" x14ac:dyDescent="0.25">
      <c r="A62">
        <v>61</v>
      </c>
      <c r="B62" t="s">
        <v>57</v>
      </c>
      <c r="C62" t="s">
        <v>46</v>
      </c>
      <c r="D62" t="s">
        <v>100</v>
      </c>
      <c r="E62">
        <v>546</v>
      </c>
      <c r="F62">
        <v>653</v>
      </c>
      <c r="G62">
        <v>54</v>
      </c>
      <c r="H62">
        <v>42</v>
      </c>
      <c r="I62">
        <v>95</v>
      </c>
      <c r="J62">
        <v>1</v>
      </c>
    </row>
    <row r="63" spans="1:10" x14ac:dyDescent="0.25">
      <c r="A63">
        <v>62</v>
      </c>
      <c r="B63" t="s">
        <v>36</v>
      </c>
      <c r="C63" t="s">
        <v>34</v>
      </c>
      <c r="D63" t="s">
        <v>101</v>
      </c>
      <c r="E63">
        <v>530</v>
      </c>
      <c r="F63">
        <v>242</v>
      </c>
      <c r="G63">
        <v>17</v>
      </c>
      <c r="H63">
        <v>36</v>
      </c>
      <c r="I63">
        <v>117</v>
      </c>
      <c r="J63">
        <v>0</v>
      </c>
    </row>
    <row r="64" spans="1:10" x14ac:dyDescent="0.25">
      <c r="A64">
        <v>63</v>
      </c>
      <c r="B64" t="s">
        <v>30</v>
      </c>
      <c r="C64" t="s">
        <v>46</v>
      </c>
      <c r="D64" t="s">
        <v>102</v>
      </c>
      <c r="E64">
        <v>602</v>
      </c>
      <c r="F64">
        <v>902</v>
      </c>
      <c r="G64">
        <v>35</v>
      </c>
      <c r="H64">
        <v>58</v>
      </c>
      <c r="I64">
        <v>118</v>
      </c>
      <c r="J64">
        <v>0</v>
      </c>
    </row>
    <row r="65" spans="1:10" x14ac:dyDescent="0.25">
      <c r="A65">
        <v>64</v>
      </c>
      <c r="B65" t="s">
        <v>33</v>
      </c>
      <c r="C65" t="s">
        <v>31</v>
      </c>
      <c r="D65" t="s">
        <v>103</v>
      </c>
      <c r="E65">
        <v>809</v>
      </c>
      <c r="F65">
        <v>1208</v>
      </c>
      <c r="G65">
        <v>87</v>
      </c>
      <c r="H65">
        <v>89</v>
      </c>
      <c r="I65">
        <v>138</v>
      </c>
      <c r="J65">
        <v>1</v>
      </c>
    </row>
    <row r="66" spans="1:10" x14ac:dyDescent="0.25">
      <c r="A66">
        <v>65</v>
      </c>
      <c r="B66" t="s">
        <v>30</v>
      </c>
      <c r="C66" t="s">
        <v>34</v>
      </c>
      <c r="D66" t="s">
        <v>104</v>
      </c>
      <c r="E66">
        <v>423</v>
      </c>
      <c r="F66">
        <v>363</v>
      </c>
      <c r="G66">
        <v>10</v>
      </c>
      <c r="H66">
        <v>33</v>
      </c>
      <c r="I66">
        <v>153</v>
      </c>
      <c r="J66">
        <v>0</v>
      </c>
    </row>
    <row r="67" spans="1:10" x14ac:dyDescent="0.25">
      <c r="A67">
        <v>66</v>
      </c>
      <c r="B67" t="s">
        <v>38</v>
      </c>
      <c r="C67" t="s">
        <v>46</v>
      </c>
      <c r="D67" t="s">
        <v>105</v>
      </c>
      <c r="E67">
        <v>943</v>
      </c>
      <c r="F67">
        <v>1002</v>
      </c>
      <c r="G67">
        <v>39</v>
      </c>
      <c r="H67">
        <v>62</v>
      </c>
      <c r="I67">
        <v>125</v>
      </c>
      <c r="J67">
        <v>0</v>
      </c>
    </row>
    <row r="68" spans="1:10" x14ac:dyDescent="0.25">
      <c r="A68">
        <v>67</v>
      </c>
      <c r="B68" t="s">
        <v>33</v>
      </c>
      <c r="C68" t="s">
        <v>31</v>
      </c>
      <c r="D68" t="s">
        <v>106</v>
      </c>
      <c r="E68">
        <v>876</v>
      </c>
      <c r="F68">
        <v>555</v>
      </c>
      <c r="G68">
        <v>76</v>
      </c>
      <c r="H68">
        <v>61</v>
      </c>
      <c r="I68">
        <v>142</v>
      </c>
      <c r="J68">
        <v>0</v>
      </c>
    </row>
    <row r="69" spans="1:10" x14ac:dyDescent="0.25">
      <c r="A69">
        <v>68</v>
      </c>
      <c r="B69" t="s">
        <v>33</v>
      </c>
      <c r="C69" t="s">
        <v>34</v>
      </c>
      <c r="D69" t="s">
        <v>107</v>
      </c>
      <c r="E69">
        <v>967</v>
      </c>
      <c r="F69">
        <v>2128</v>
      </c>
      <c r="G69">
        <v>130</v>
      </c>
      <c r="H69">
        <v>61</v>
      </c>
      <c r="I69">
        <v>135</v>
      </c>
      <c r="J69">
        <v>0</v>
      </c>
    </row>
    <row r="70" spans="1:10" x14ac:dyDescent="0.25">
      <c r="A70">
        <v>69</v>
      </c>
      <c r="B70" t="s">
        <v>57</v>
      </c>
      <c r="C70" t="s">
        <v>31</v>
      </c>
      <c r="D70" t="s">
        <v>108</v>
      </c>
      <c r="E70">
        <v>667</v>
      </c>
      <c r="F70">
        <v>597</v>
      </c>
      <c r="G70">
        <v>57</v>
      </c>
      <c r="H70">
        <v>81</v>
      </c>
      <c r="I70">
        <v>123</v>
      </c>
      <c r="J70">
        <v>1</v>
      </c>
    </row>
    <row r="71" spans="1:10" x14ac:dyDescent="0.25">
      <c r="A71">
        <v>70</v>
      </c>
      <c r="B71" t="s">
        <v>36</v>
      </c>
      <c r="C71" t="s">
        <v>31</v>
      </c>
      <c r="D71" t="s">
        <v>109</v>
      </c>
      <c r="E71">
        <v>879</v>
      </c>
      <c r="F71">
        <v>1700</v>
      </c>
      <c r="G71">
        <v>8</v>
      </c>
      <c r="H71">
        <v>70</v>
      </c>
      <c r="I71">
        <v>130</v>
      </c>
      <c r="J71">
        <v>1</v>
      </c>
    </row>
    <row r="72" spans="1:10" x14ac:dyDescent="0.25">
      <c r="A72">
        <v>71</v>
      </c>
      <c r="B72" t="s">
        <v>33</v>
      </c>
      <c r="C72" t="s">
        <v>46</v>
      </c>
      <c r="D72" t="s">
        <v>110</v>
      </c>
      <c r="E72">
        <v>1525</v>
      </c>
      <c r="F72">
        <v>1316</v>
      </c>
      <c r="G72">
        <v>131</v>
      </c>
      <c r="H72">
        <v>86</v>
      </c>
      <c r="I72">
        <v>121</v>
      </c>
      <c r="J72">
        <v>0</v>
      </c>
    </row>
    <row r="73" spans="1:10" x14ac:dyDescent="0.25">
      <c r="A73">
        <v>72</v>
      </c>
      <c r="B73" t="s">
        <v>30</v>
      </c>
      <c r="C73" t="s">
        <v>34</v>
      </c>
      <c r="D73" t="s">
        <v>111</v>
      </c>
      <c r="E73">
        <v>734</v>
      </c>
      <c r="F73">
        <v>662</v>
      </c>
      <c r="G73">
        <v>51</v>
      </c>
      <c r="H73">
        <v>66</v>
      </c>
      <c r="I73">
        <v>124</v>
      </c>
      <c r="J73">
        <v>1</v>
      </c>
    </row>
    <row r="74" spans="1:10" x14ac:dyDescent="0.25">
      <c r="A74">
        <v>73</v>
      </c>
      <c r="B74" t="s">
        <v>38</v>
      </c>
      <c r="C74" t="s">
        <v>46</v>
      </c>
      <c r="D74" t="s">
        <v>112</v>
      </c>
      <c r="E74">
        <f>(13*60)+30</f>
        <v>810</v>
      </c>
      <c r="F74">
        <v>1421</v>
      </c>
      <c r="G74">
        <v>60</v>
      </c>
      <c r="H74">
        <v>67</v>
      </c>
      <c r="I74">
        <v>146</v>
      </c>
      <c r="J74">
        <v>0</v>
      </c>
    </row>
    <row r="75" spans="1:10" x14ac:dyDescent="0.25">
      <c r="A75">
        <v>74</v>
      </c>
      <c r="B75" t="s">
        <v>57</v>
      </c>
      <c r="C75" t="s">
        <v>46</v>
      </c>
      <c r="D75" t="s">
        <v>113</v>
      </c>
      <c r="E75">
        <f>(10*60)+57</f>
        <v>657</v>
      </c>
      <c r="F75">
        <v>586</v>
      </c>
      <c r="G75">
        <v>63</v>
      </c>
      <c r="H75">
        <v>63</v>
      </c>
      <c r="I75">
        <v>118</v>
      </c>
      <c r="J75">
        <v>1</v>
      </c>
    </row>
    <row r="76" spans="1:10" x14ac:dyDescent="0.25">
      <c r="A76">
        <v>75</v>
      </c>
      <c r="B76" t="s">
        <v>57</v>
      </c>
      <c r="C76" t="s">
        <v>34</v>
      </c>
      <c r="D76" t="s">
        <v>99</v>
      </c>
      <c r="E76">
        <f>(13*60)+2</f>
        <v>782</v>
      </c>
      <c r="F76">
        <v>906</v>
      </c>
      <c r="G76">
        <v>63</v>
      </c>
      <c r="H76">
        <v>64</v>
      </c>
      <c r="I76">
        <v>155</v>
      </c>
      <c r="J76">
        <v>1</v>
      </c>
    </row>
    <row r="77" spans="1:10" x14ac:dyDescent="0.25">
      <c r="A77">
        <v>76</v>
      </c>
      <c r="B77" t="s">
        <v>36</v>
      </c>
      <c r="C77" t="s">
        <v>46</v>
      </c>
      <c r="D77" t="s">
        <v>114</v>
      </c>
      <c r="E77">
        <f>(10*60)+20</f>
        <v>620</v>
      </c>
      <c r="F77">
        <v>868</v>
      </c>
      <c r="G77">
        <v>36</v>
      </c>
      <c r="H77">
        <v>60</v>
      </c>
      <c r="I77">
        <v>183</v>
      </c>
      <c r="J77">
        <v>1</v>
      </c>
    </row>
    <row r="78" spans="1:10" x14ac:dyDescent="0.25">
      <c r="A78">
        <v>77</v>
      </c>
      <c r="B78" t="s">
        <v>30</v>
      </c>
      <c r="C78" t="s">
        <v>31</v>
      </c>
      <c r="D78" t="s">
        <v>115</v>
      </c>
      <c r="E78">
        <f>(11*60)+54</f>
        <v>714</v>
      </c>
      <c r="F78">
        <v>505</v>
      </c>
      <c r="G78">
        <f>(60+45)</f>
        <v>105</v>
      </c>
      <c r="H78">
        <v>71</v>
      </c>
      <c r="I78">
        <v>145</v>
      </c>
      <c r="J78">
        <v>0</v>
      </c>
    </row>
    <row r="79" spans="1:10" x14ac:dyDescent="0.25">
      <c r="A79">
        <v>78</v>
      </c>
      <c r="B79" t="s">
        <v>36</v>
      </c>
      <c r="C79" t="s">
        <v>31</v>
      </c>
      <c r="D79" t="s">
        <v>116</v>
      </c>
      <c r="E79">
        <f>(9*60)+30</f>
        <v>570</v>
      </c>
      <c r="F79">
        <v>706</v>
      </c>
      <c r="G79">
        <f>60+40</f>
        <v>100</v>
      </c>
      <c r="H79">
        <v>45</v>
      </c>
      <c r="I79">
        <v>145</v>
      </c>
      <c r="J79">
        <v>0</v>
      </c>
    </row>
    <row r="80" spans="1:10" x14ac:dyDescent="0.25">
      <c r="A80">
        <v>79</v>
      </c>
      <c r="B80" t="s">
        <v>57</v>
      </c>
      <c r="C80" t="s">
        <v>34</v>
      </c>
      <c r="D80" t="s">
        <v>117</v>
      </c>
      <c r="E80">
        <f>(6*60)+36</f>
        <v>396</v>
      </c>
      <c r="F80">
        <v>479</v>
      </c>
      <c r="G80">
        <v>13</v>
      </c>
      <c r="H80">
        <v>39</v>
      </c>
      <c r="I80">
        <v>153</v>
      </c>
      <c r="J80">
        <v>1</v>
      </c>
    </row>
    <row r="81" spans="1:10" x14ac:dyDescent="0.25">
      <c r="A81">
        <v>80</v>
      </c>
      <c r="B81" t="s">
        <v>57</v>
      </c>
      <c r="C81" t="s">
        <v>46</v>
      </c>
      <c r="D81" t="s">
        <v>118</v>
      </c>
      <c r="E81">
        <f>(5*60)+57</f>
        <v>357</v>
      </c>
      <c r="F81">
        <v>396</v>
      </c>
      <c r="G81">
        <f>60+10</f>
        <v>70</v>
      </c>
      <c r="H81">
        <v>49</v>
      </c>
      <c r="I81">
        <v>144</v>
      </c>
      <c r="J81">
        <v>1</v>
      </c>
    </row>
    <row r="82" spans="1:10" x14ac:dyDescent="0.25">
      <c r="A82">
        <v>81</v>
      </c>
      <c r="B82" t="s">
        <v>33</v>
      </c>
      <c r="C82" t="s">
        <v>31</v>
      </c>
      <c r="D82" t="s">
        <v>119</v>
      </c>
      <c r="E82">
        <f>(11*60)</f>
        <v>660</v>
      </c>
      <c r="F82">
        <v>598</v>
      </c>
      <c r="G82">
        <v>67</v>
      </c>
      <c r="H82">
        <v>60</v>
      </c>
      <c r="I82">
        <v>116</v>
      </c>
      <c r="J82">
        <v>0</v>
      </c>
    </row>
    <row r="83" spans="1:10" x14ac:dyDescent="0.25">
      <c r="A83">
        <v>82</v>
      </c>
      <c r="B83" t="s">
        <v>45</v>
      </c>
      <c r="C83" t="s">
        <v>46</v>
      </c>
      <c r="D83" t="s">
        <v>120</v>
      </c>
      <c r="E83">
        <f>(24*60)+6</f>
        <v>1446</v>
      </c>
      <c r="F83">
        <v>1448</v>
      </c>
      <c r="G83">
        <f>60+22</f>
        <v>82</v>
      </c>
      <c r="H83">
        <v>84</v>
      </c>
      <c r="I83">
        <v>131</v>
      </c>
      <c r="J83">
        <v>1</v>
      </c>
    </row>
    <row r="84" spans="1:10" x14ac:dyDescent="0.25">
      <c r="A84">
        <v>83</v>
      </c>
      <c r="B84" t="s">
        <v>57</v>
      </c>
      <c r="C84" t="s">
        <v>34</v>
      </c>
      <c r="D84" t="s">
        <v>121</v>
      </c>
      <c r="E84">
        <f>(6*60)+51</f>
        <v>411</v>
      </c>
      <c r="F84">
        <v>371</v>
      </c>
      <c r="G84">
        <v>28</v>
      </c>
      <c r="H84">
        <v>42</v>
      </c>
      <c r="I84">
        <v>121</v>
      </c>
      <c r="J84">
        <v>0</v>
      </c>
    </row>
    <row r="85" spans="1:10" x14ac:dyDescent="0.25">
      <c r="A85">
        <v>84</v>
      </c>
      <c r="B85" t="s">
        <v>30</v>
      </c>
      <c r="C85" t="s">
        <v>34</v>
      </c>
      <c r="D85" t="s">
        <v>122</v>
      </c>
      <c r="E85">
        <f>(6*60)+4</f>
        <v>364</v>
      </c>
      <c r="F85">
        <v>402</v>
      </c>
      <c r="G85">
        <v>15</v>
      </c>
      <c r="H85">
        <v>30</v>
      </c>
      <c r="I85">
        <v>128</v>
      </c>
      <c r="J85">
        <v>1</v>
      </c>
    </row>
    <row r="86" spans="1:10" x14ac:dyDescent="0.25">
      <c r="A86">
        <v>85</v>
      </c>
      <c r="B86" t="s">
        <v>40</v>
      </c>
      <c r="C86" t="s">
        <v>34</v>
      </c>
      <c r="D86" t="s">
        <v>123</v>
      </c>
      <c r="E86">
        <f>(7*60)+4</f>
        <v>424</v>
      </c>
      <c r="F86">
        <v>342</v>
      </c>
      <c r="G86">
        <v>12</v>
      </c>
      <c r="H86">
        <v>28</v>
      </c>
      <c r="I86">
        <v>166</v>
      </c>
      <c r="J86">
        <v>0</v>
      </c>
    </row>
    <row r="87" spans="1:10" x14ac:dyDescent="0.25">
      <c r="A87">
        <v>86</v>
      </c>
      <c r="B87" t="s">
        <v>30</v>
      </c>
      <c r="C87" t="s">
        <v>46</v>
      </c>
      <c r="D87" t="s">
        <v>124</v>
      </c>
      <c r="E87">
        <f>(4*60)+8</f>
        <v>248</v>
      </c>
      <c r="F87">
        <v>238</v>
      </c>
      <c r="G87">
        <v>15</v>
      </c>
      <c r="H87">
        <v>29</v>
      </c>
      <c r="I87">
        <v>211</v>
      </c>
      <c r="J87">
        <v>0</v>
      </c>
    </row>
    <row r="88" spans="1:10" x14ac:dyDescent="0.25">
      <c r="A88">
        <v>87</v>
      </c>
      <c r="B88" t="s">
        <v>38</v>
      </c>
      <c r="C88" t="s">
        <v>34</v>
      </c>
      <c r="D88" t="s">
        <v>125</v>
      </c>
      <c r="E88">
        <f>(28*60)+34</f>
        <v>1714</v>
      </c>
      <c r="F88">
        <v>1975</v>
      </c>
      <c r="G88">
        <f>60+35</f>
        <v>95</v>
      </c>
      <c r="H88">
        <v>96</v>
      </c>
      <c r="I88">
        <v>127</v>
      </c>
      <c r="J88">
        <v>0</v>
      </c>
    </row>
    <row r="89" spans="1:10" x14ac:dyDescent="0.25">
      <c r="A89">
        <v>88</v>
      </c>
      <c r="B89" t="s">
        <v>36</v>
      </c>
      <c r="C89" t="s">
        <v>31</v>
      </c>
      <c r="D89" t="s">
        <v>126</v>
      </c>
      <c r="E89">
        <f>(9*60)+30</f>
        <v>570</v>
      </c>
      <c r="F89">
        <v>531</v>
      </c>
      <c r="G89">
        <v>39</v>
      </c>
      <c r="H89">
        <v>47</v>
      </c>
      <c r="I89">
        <v>132</v>
      </c>
      <c r="J89">
        <v>1</v>
      </c>
    </row>
    <row r="90" spans="1:10" x14ac:dyDescent="0.25">
      <c r="A90">
        <v>89</v>
      </c>
      <c r="B90" t="s">
        <v>30</v>
      </c>
      <c r="C90" t="s">
        <v>46</v>
      </c>
      <c r="D90" t="s">
        <v>127</v>
      </c>
      <c r="E90">
        <f>(7*60)+1</f>
        <v>421</v>
      </c>
      <c r="F90">
        <v>350</v>
      </c>
      <c r="G90">
        <v>17</v>
      </c>
      <c r="H90">
        <v>39</v>
      </c>
      <c r="I90">
        <v>142</v>
      </c>
      <c r="J90">
        <v>0</v>
      </c>
    </row>
    <row r="91" spans="1:10" x14ac:dyDescent="0.25">
      <c r="A91">
        <v>90</v>
      </c>
      <c r="B91" t="s">
        <v>57</v>
      </c>
      <c r="C91" t="s">
        <v>31</v>
      </c>
      <c r="D91" t="s">
        <v>128</v>
      </c>
      <c r="E91">
        <f>(5*60)+23</f>
        <v>323</v>
      </c>
      <c r="F91">
        <v>278</v>
      </c>
      <c r="G91">
        <v>37</v>
      </c>
      <c r="H91">
        <v>32</v>
      </c>
      <c r="I91">
        <v>113</v>
      </c>
      <c r="J91">
        <v>0</v>
      </c>
    </row>
    <row r="92" spans="1:10" x14ac:dyDescent="0.25">
      <c r="A92">
        <v>91</v>
      </c>
      <c r="B92" t="s">
        <v>30</v>
      </c>
      <c r="C92" t="s">
        <v>31</v>
      </c>
      <c r="D92" t="s">
        <v>129</v>
      </c>
      <c r="E92">
        <f>(17*60)+40</f>
        <v>1060</v>
      </c>
      <c r="F92">
        <v>909</v>
      </c>
      <c r="G92">
        <f>(60*3)+22</f>
        <v>202</v>
      </c>
      <c r="H92">
        <v>65</v>
      </c>
      <c r="I92">
        <v>120</v>
      </c>
      <c r="J92">
        <v>1</v>
      </c>
    </row>
    <row r="93" spans="1:10" x14ac:dyDescent="0.25">
      <c r="A93">
        <v>92</v>
      </c>
      <c r="B93" t="s">
        <v>30</v>
      </c>
      <c r="C93" t="s">
        <v>46</v>
      </c>
      <c r="D93" t="s">
        <v>130</v>
      </c>
      <c r="E93">
        <v>2272</v>
      </c>
      <c r="F93">
        <f>(2*60)+4</f>
        <v>124</v>
      </c>
      <c r="G93">
        <v>2004</v>
      </c>
      <c r="H93">
        <f>60+15</f>
        <v>75</v>
      </c>
      <c r="I93">
        <v>124</v>
      </c>
      <c r="J93">
        <v>1</v>
      </c>
    </row>
    <row r="94" spans="1:10" x14ac:dyDescent="0.25">
      <c r="A94">
        <v>93</v>
      </c>
      <c r="B94" t="s">
        <v>36</v>
      </c>
      <c r="C94" t="s">
        <v>31</v>
      </c>
      <c r="D94" t="s">
        <v>131</v>
      </c>
      <c r="E94">
        <f>(17*60)+59</f>
        <v>1079</v>
      </c>
      <c r="F94">
        <v>799</v>
      </c>
      <c r="G94">
        <v>57</v>
      </c>
      <c r="H94">
        <v>69</v>
      </c>
      <c r="I94">
        <v>131</v>
      </c>
      <c r="J94">
        <v>0</v>
      </c>
    </row>
    <row r="95" spans="1:10" x14ac:dyDescent="0.25">
      <c r="A95">
        <v>94</v>
      </c>
      <c r="B95" t="s">
        <v>36</v>
      </c>
      <c r="C95" t="s">
        <v>34</v>
      </c>
      <c r="D95" t="s">
        <v>132</v>
      </c>
      <c r="E95">
        <f>(20*60)+13</f>
        <v>1213</v>
      </c>
      <c r="F95">
        <v>1024</v>
      </c>
      <c r="G95">
        <f>60+35</f>
        <v>95</v>
      </c>
      <c r="H95">
        <v>87</v>
      </c>
      <c r="I95">
        <v>116</v>
      </c>
      <c r="J95">
        <v>1</v>
      </c>
    </row>
    <row r="96" spans="1:10" x14ac:dyDescent="0.25">
      <c r="A96">
        <v>95</v>
      </c>
      <c r="B96" t="s">
        <v>38</v>
      </c>
      <c r="C96" t="s">
        <v>46</v>
      </c>
      <c r="D96" t="s">
        <v>133</v>
      </c>
      <c r="E96">
        <f>(8*60)+18</f>
        <v>498</v>
      </c>
      <c r="F96">
        <v>460</v>
      </c>
      <c r="G96">
        <v>26</v>
      </c>
      <c r="H96">
        <v>43</v>
      </c>
      <c r="I96">
        <v>131</v>
      </c>
      <c r="J96">
        <v>1</v>
      </c>
    </row>
    <row r="97" spans="1:10" x14ac:dyDescent="0.25">
      <c r="A97">
        <v>96</v>
      </c>
      <c r="B97" t="s">
        <v>57</v>
      </c>
      <c r="C97" t="s">
        <v>34</v>
      </c>
      <c r="D97" t="s">
        <v>134</v>
      </c>
      <c r="E97">
        <f>(6*60)+51</f>
        <v>411</v>
      </c>
      <c r="F97">
        <v>368</v>
      </c>
      <c r="G97">
        <v>42</v>
      </c>
      <c r="H97">
        <v>32</v>
      </c>
      <c r="I97">
        <v>152</v>
      </c>
      <c r="J97">
        <v>1</v>
      </c>
    </row>
    <row r="98" spans="1:10" x14ac:dyDescent="0.25">
      <c r="A98">
        <v>96</v>
      </c>
      <c r="B98" t="s">
        <v>38</v>
      </c>
      <c r="C98" t="s">
        <v>34</v>
      </c>
      <c r="D98" t="s">
        <v>135</v>
      </c>
      <c r="E98">
        <f>(6*60)+12</f>
        <v>372</v>
      </c>
      <c r="F98">
        <v>322</v>
      </c>
      <c r="G98">
        <v>13</v>
      </c>
      <c r="H98">
        <v>37</v>
      </c>
      <c r="I98">
        <v>176</v>
      </c>
      <c r="J98">
        <v>0</v>
      </c>
    </row>
    <row r="99" spans="1:10" x14ac:dyDescent="0.25">
      <c r="A99">
        <v>97</v>
      </c>
      <c r="B99" t="s">
        <v>30</v>
      </c>
      <c r="C99" t="s">
        <v>31</v>
      </c>
      <c r="D99" t="s">
        <v>136</v>
      </c>
      <c r="E99">
        <f>(14*60)+45</f>
        <v>885</v>
      </c>
      <c r="F99">
        <v>801</v>
      </c>
      <c r="G99">
        <f>60+48</f>
        <v>108</v>
      </c>
      <c r="H99">
        <v>77</v>
      </c>
      <c r="I99">
        <v>123</v>
      </c>
      <c r="J99">
        <v>1</v>
      </c>
    </row>
    <row r="100" spans="1:10" x14ac:dyDescent="0.25">
      <c r="A100">
        <v>98</v>
      </c>
      <c r="B100" t="s">
        <v>36</v>
      </c>
      <c r="C100" t="s">
        <v>46</v>
      </c>
      <c r="D100" t="s">
        <v>137</v>
      </c>
      <c r="E100">
        <f>(17*60)+45</f>
        <v>1065</v>
      </c>
      <c r="F100">
        <v>1154</v>
      </c>
      <c r="G100">
        <f>(60*2)</f>
        <v>120</v>
      </c>
      <c r="H100">
        <v>67</v>
      </c>
      <c r="I100">
        <v>114</v>
      </c>
      <c r="J100">
        <v>0</v>
      </c>
    </row>
    <row r="101" spans="1:10" x14ac:dyDescent="0.25">
      <c r="A101">
        <v>99</v>
      </c>
      <c r="B101" t="s">
        <v>30</v>
      </c>
      <c r="C101" t="s">
        <v>46</v>
      </c>
      <c r="D101" t="s">
        <v>138</v>
      </c>
      <c r="E101">
        <f>(12*60)+46</f>
        <v>766</v>
      </c>
      <c r="F101">
        <v>759</v>
      </c>
      <c r="G101">
        <f>60+6</f>
        <v>66</v>
      </c>
      <c r="H101">
        <v>65</v>
      </c>
      <c r="I101">
        <v>114</v>
      </c>
      <c r="J101">
        <v>1</v>
      </c>
    </row>
    <row r="102" spans="1:10" x14ac:dyDescent="0.25">
      <c r="A102">
        <v>100</v>
      </c>
      <c r="B102" t="s">
        <v>36</v>
      </c>
      <c r="C102" t="s">
        <v>31</v>
      </c>
      <c r="D102" t="s">
        <v>139</v>
      </c>
      <c r="E102">
        <f>(16*60)+12</f>
        <v>972</v>
      </c>
      <c r="F102">
        <v>837</v>
      </c>
      <c r="G102">
        <v>51</v>
      </c>
      <c r="H102">
        <v>46</v>
      </c>
      <c r="I102">
        <v>121</v>
      </c>
      <c r="J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Enter Performance Indicators</vt:lpstr>
      <vt:lpstr>Game-Time Converted to Minutes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inzinna</dc:creator>
  <cp:lastModifiedBy>Michael Inzinna</cp:lastModifiedBy>
  <dcterms:created xsi:type="dcterms:W3CDTF">2020-04-26T13:24:11Z</dcterms:created>
  <dcterms:modified xsi:type="dcterms:W3CDTF">2025-04-19T15:09:12Z</dcterms:modified>
</cp:coreProperties>
</file>